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Data TOC" sheetId="21" state="visible" r:id="rId21"/>
    <sheet name="F1" sheetId="1" state="visible" r:id="rId1"/>
    <sheet name="F2" sheetId="2" state="visible" r:id="rId2"/>
    <sheet name="F3" sheetId="3" state="visible" r:id="rId3"/>
    <sheet name="F4" sheetId="4" state="visible" r:id="rId4"/>
    <sheet name="T1a" sheetId="5" state="visible" r:id="rId5"/>
    <sheet name="T1b" sheetId="6" state="visible" r:id="rId6"/>
    <sheet name="TA1" sheetId="7" state="visible" r:id="rId7"/>
    <sheet name="TA2" sheetId="8" state="visible" r:id="rId8"/>
    <sheet name="F5" sheetId="9" state="visible" r:id="rId9"/>
    <sheet name="F6" sheetId="10" state="visible" r:id="rId10"/>
    <sheet name="F7" sheetId="11" state="visible" r:id="rId11"/>
    <sheet name="F8" sheetId="12" state="visible" r:id="rId12"/>
    <sheet name="F9" sheetId="13" state="visible" r:id="rId13"/>
    <sheet name="F10" sheetId="14" state="visible" r:id="rId14"/>
    <sheet name="F11" sheetId="15" state="visible" r:id="rId15"/>
    <sheet name="F12" sheetId="16" state="visible" r:id="rId16"/>
    <sheet name="F13a" sheetId="17" state="visible" r:id="rId17"/>
    <sheet name="F13b" sheetId="18" state="visible" r:id="rId18"/>
    <sheet name="FA1" sheetId="19" state="visible" r:id="rId19"/>
    <sheet name="FA2" sheetId="20" state="visible" r:id="rId20"/>
  </sheets>
</workbook>
</file>

<file path=xl/sharedStrings.xml><?xml version="1.0" encoding="utf-8"?>
<sst xmlns="http://schemas.openxmlformats.org/spreadsheetml/2006/main" count="172" uniqueCount="172">
  <si>
    <t xml:space="preserve">Figure 1. Customs Duty Revenue (Inflation-Adjusted)</t>
  </si>
  <si>
    <t xml:space="preserve">Subtitle: Monthly federal customs duty revenue in 2025 dollars, deflated by CPI-U</t>
  </si>
  <si>
    <t xml:space="preserve">Notes: October 2025 CPI interpolated (government shutdown delayed BLS release).</t>
  </si>
  <si>
    <t xml:space="preserve">Source: U.S. Treasury via Haver Analytics, BLS CPI</t>
  </si>
  <si>
    <t xml:space="preserve">Date</t>
  </si>
  <si>
    <t xml:space="preserve">Customs duties (nominal USD)</t>
  </si>
  <si>
    <t xml:space="preserve">Customs duties (2025 USD)</t>
  </si>
  <si>
    <t xml:space="preserve">2022-2024 average customs duties (2025 USD)</t>
  </si>
  <si>
    <t xml:space="preserve">Figure 2. Effective Tariff Rate</t>
  </si>
  <si>
    <t xml:space="preserve">Subtitle: Customs duties as a share of import value</t>
  </si>
  <si>
    <t xml:space="preserve">Source: U.S. Treasury, Census Bureau via Haver Analytics</t>
  </si>
  <si>
    <t xml:space="preserve">Import values (nominal USD)</t>
  </si>
  <si>
    <t xml:space="preserve">Effective tariff rate (%)</t>
  </si>
  <si>
    <t xml:space="preserve">Figure 3. PCE Core Goods &amp; Durables Prices</t>
  </si>
  <si>
    <t xml:space="preserve">Subtitle: Index (Dec 2024 = 100) versus local projection with 90% CIs</t>
  </si>
  <si>
    <t xml:space="preserve">Source: Bureau of Economic Analysis via Haver Analytics and The Budget Lab analysis</t>
  </si>
  <si>
    <t xml:space="preserve">Core goods index (December 2024 = 100)</t>
  </si>
  <si>
    <t xml:space="preserve">Core goods trend (pre-2025)</t>
  </si>
  <si>
    <t xml:space="preserve">Core goods trend, lower bound</t>
  </si>
  <si>
    <t xml:space="preserve">Core goods trend, upper bound</t>
  </si>
  <si>
    <t xml:space="preserve">Durable goods index (December 2024 = 100)</t>
  </si>
  <si>
    <t xml:space="preserve">Durable goods trend (pre-2025)</t>
  </si>
  <si>
    <t xml:space="preserve">Durable goods trend, lower bound</t>
  </si>
  <si>
    <t xml:space="preserve">Durable goods trend, upper bound</t>
  </si>
  <si>
    <t xml:space="preserve">Forecast indicator</t>
  </si>
  <si>
    <t xml:space="preserve">Figure 4. PCE Goods Prices: Deviation from Trend</t>
  </si>
  <si>
    <t xml:space="preserve">Subtitle: Percent difference from trend (local projection)</t>
  </si>
  <si>
    <t xml:space="preserve">Core goods deviation from trend (%)</t>
  </si>
  <si>
    <t xml:space="preserve">Durable goods deviation from trend (%)</t>
  </si>
  <si>
    <t xml:space="preserve">Table 1a. Implied Passthrough -- Imported PCE Core and Durable Goods Prices (June 2025)</t>
  </si>
  <si>
    <t xml:space="preserve">Subtitle: Passthrough calculation components, estimated price change, and estimated passthrough rates</t>
  </si>
  <si>
    <t xml:space="preserve">Notes: LP (Local Projection): Price deviation from trend estimated using local projections with recession/pandemic controls (1996-2024 estimation period). Log-Linear: Price deviation from simple log-linear trend fit to 2023-2024 data. Simple: Raw price change with no trend adjustment. Tariff rates are category-specific effective rates from USITC trade data: core goods 13.1%, durables 13.3% (vs 2.7% baseline). Economy-wide effective rate as of December 2025: 9.9%.</t>
  </si>
  <si>
    <t xml:space="preserve">Source: Haver Analytics, USITC, BEA, and The Budget Lab analysis</t>
  </si>
  <si>
    <t xml:space="preserve">Category</t>
  </si>
  <si>
    <t xml:space="preserve">Import share</t>
  </si>
  <si>
    <t xml:space="preserve">Tariff increase (pp)</t>
  </si>
  <si>
    <t xml:space="preserve">Expected price change under 100% passthrough</t>
  </si>
  <si>
    <t xml:space="preserve">Price change, 2025 change</t>
  </si>
  <si>
    <t xml:space="preserve">Price change, vs LP trend</t>
  </si>
  <si>
    <t xml:space="preserve">Price change, vs Log-Linear</t>
  </si>
  <si>
    <t xml:space="preserve">Passthrough, via 2025 change</t>
  </si>
  <si>
    <t xml:space="preserve">Passthrough, vs LP trend</t>
  </si>
  <si>
    <t xml:space="preserve">vs Log-Linear</t>
  </si>
  <si>
    <t xml:space="preserve">Imported Core Goods</t>
  </si>
  <si>
    <t xml:space="preserve">32.2%</t>
  </si>
  <si>
    <t xml:space="preserve">8.4 pp</t>
  </si>
  <si>
    <t xml:space="preserve">2.7%</t>
  </si>
  <si>
    <t xml:space="preserve">0.9%</t>
  </si>
  <si>
    <t xml:space="preserve">1.4%</t>
  </si>
  <si>
    <t xml:space="preserve">1.2%</t>
  </si>
  <si>
    <t xml:space="preserve">33%</t>
  </si>
  <si>
    <t xml:space="preserve">51%</t>
  </si>
  <si>
    <t xml:space="preserve">43%</t>
  </si>
  <si>
    <t xml:space="preserve">Imported Durables</t>
  </si>
  <si>
    <t xml:space="preserve">28.2%</t>
  </si>
  <si>
    <t xml:space="preserve">8.9 pp</t>
  </si>
  <si>
    <t xml:space="preserve">2.5%</t>
  </si>
  <si>
    <t xml:space="preserve">1.8%</t>
  </si>
  <si>
    <t xml:space="preserve">2.0%</t>
  </si>
  <si>
    <t xml:space="preserve">37%</t>
  </si>
  <si>
    <t xml:space="preserve">72%</t>
  </si>
  <si>
    <t xml:space="preserve">78%</t>
  </si>
  <si>
    <t xml:space="preserve">Table 1b. Implied Passthrough -- Imported PCE Core and Durable Goods Prices (December 2025)</t>
  </si>
  <si>
    <t xml:space="preserve">Passthrough, vs Log-Linear</t>
  </si>
  <si>
    <t xml:space="preserve">10.4 pp</t>
  </si>
  <si>
    <t xml:space="preserve">3.4%</t>
  </si>
  <si>
    <t xml:space="preserve">1.3%</t>
  </si>
  <si>
    <t xml:space="preserve">2.6%</t>
  </si>
  <si>
    <t xml:space="preserve">1.9%</t>
  </si>
  <si>
    <t xml:space="preserve">40%</t>
  </si>
  <si>
    <t xml:space="preserve">76%</t>
  </si>
  <si>
    <t xml:space="preserve">56%</t>
  </si>
  <si>
    <t xml:space="preserve">10.6 pp</t>
  </si>
  <si>
    <t xml:space="preserve">3.0%</t>
  </si>
  <si>
    <t xml:space="preserve">3.2%</t>
  </si>
  <si>
    <t xml:space="preserve">3.5%</t>
  </si>
  <si>
    <t xml:space="preserve">47%</t>
  </si>
  <si>
    <t xml:space="preserve">106%</t>
  </si>
  <si>
    <t xml:space="preserve">117%</t>
  </si>
  <si>
    <t xml:space="preserve">Table A1. Implied Consumer Passthrough -- All PCE Goods (June 2025)</t>
  </si>
  <si>
    <t xml:space="preserve">Subtitle: Economy-wide effective tariff rate</t>
  </si>
  <si>
    <t xml:space="preserve">Source: Haver Analytics, USITC, The Budget Lab analysis</t>
  </si>
  <si>
    <t xml:space="preserve">Core Goods</t>
  </si>
  <si>
    <t xml:space="preserve">7.4 pp</t>
  </si>
  <si>
    <t xml:space="preserve">2.4%</t>
  </si>
  <si>
    <t xml:space="preserve">1.5%</t>
  </si>
  <si>
    <t xml:space="preserve">1.7%</t>
  </si>
  <si>
    <t xml:space="preserve">62%</t>
  </si>
  <si>
    <t xml:space="preserve">83%</t>
  </si>
  <si>
    <t xml:space="preserve">73%</t>
  </si>
  <si>
    <t xml:space="preserve">Durables</t>
  </si>
  <si>
    <t xml:space="preserve">2.1%</t>
  </si>
  <si>
    <t xml:space="preserve">80%</t>
  </si>
  <si>
    <t xml:space="preserve">120%</t>
  </si>
  <si>
    <t xml:space="preserve">132%</t>
  </si>
  <si>
    <t xml:space="preserve">Table A2. Implied Consumer Passthrough -- All PCE Goods (December 2025)</t>
  </si>
  <si>
    <t xml:space="preserve">7.2 pp</t>
  </si>
  <si>
    <t xml:space="preserve">2.3%</t>
  </si>
  <si>
    <t xml:space="preserve">84%</t>
  </si>
  <si>
    <t xml:space="preserve">129%</t>
  </si>
  <si>
    <t xml:space="preserve">4.3%</t>
  </si>
  <si>
    <t xml:space="preserve">101%</t>
  </si>
  <si>
    <t xml:space="preserve">174%</t>
  </si>
  <si>
    <t xml:space="preserve">209%</t>
  </si>
  <si>
    <t xml:space="preserve">Figure 5. Imported PCE Core Goods &amp; Durables Prices</t>
  </si>
  <si>
    <t xml:space="preserve">Subtitle: Import-content-weighted index (Dec 2024 = 100) versus local projection with 90% CIs</t>
  </si>
  <si>
    <t xml:space="preserve">Source: BEA PCE components via Haver Analytics, BEA I-O Tables, and The Budget Lab analysis</t>
  </si>
  <si>
    <t xml:space="preserve">Imported core goods index (Dec 2024 = 100)</t>
  </si>
  <si>
    <t xml:space="preserve">Imported core goods trend (pre-2025)</t>
  </si>
  <si>
    <t xml:space="preserve">Imported core goods trend, lower bound</t>
  </si>
  <si>
    <t xml:space="preserve">Imported core goods trend, upper bound</t>
  </si>
  <si>
    <t xml:space="preserve">Imported durables index (Dec 2024 = 100)</t>
  </si>
  <si>
    <t xml:space="preserve">Imported durables trend (pre-2025)</t>
  </si>
  <si>
    <t xml:space="preserve">Imported durables trend, lower bound</t>
  </si>
  <si>
    <t xml:space="preserve">Imported durables trend, upper bound</t>
  </si>
  <si>
    <t xml:space="preserve">Figure 6. Imported PCE Goods Prices: Deviation from Trend</t>
  </si>
  <si>
    <t xml:space="preserve">Subtitle: Percent difference from trend (import-content-weighted index)</t>
  </si>
  <si>
    <t xml:space="preserve">Imported core goods deviation from trend (%)</t>
  </si>
  <si>
    <t xml:space="preserve">Imported durables deviation from trend (%)</t>
  </si>
  <si>
    <t xml:space="preserve">Figure 7. Non-Petroleum Import Prices</t>
  </si>
  <si>
    <t xml:space="preserve">Subtitle: Index (Dec 2024 = 100) versus simple linear projection</t>
  </si>
  <si>
    <t xml:space="preserve">Notes: October 2025 import prices interpolated (government shutdown delayed BLS release). Simple linear projection based on 2023-2024 data.</t>
  </si>
  <si>
    <t xml:space="preserve">Source: Bureau of Labor Statistics via Haver Analytics</t>
  </si>
  <si>
    <t xml:space="preserve">Import price index (Dec 2024 = 100)</t>
  </si>
  <si>
    <t xml:space="preserve">Trend</t>
  </si>
  <si>
    <t xml:space="preserve">Deviation from trend (%)</t>
  </si>
  <si>
    <t xml:space="preserve">Figure 8. Tariff-Exposed Employment Index</t>
  </si>
  <si>
    <t xml:space="preserve">Subtitle: Leontief-adjusted total import content weighting, index (Dec 2024 = 100)</t>
  </si>
  <si>
    <t xml:space="preserve">Source: BLS via Haver, USITC DataWeb, BEA I-O Tables (including Total Requirements), and The Budget Lab analysis</t>
  </si>
  <si>
    <t xml:space="preserve">Employment index (Dec 2024 = 100)</t>
  </si>
  <si>
    <t xml:space="preserve">Figure 9. Manufacturing Tariff-Exposed Employment Index</t>
  </si>
  <si>
    <t xml:space="preserve">Manufacturing employment index (Dec 2024 = 100)</t>
  </si>
  <si>
    <t xml:space="preserve">Figure 10. Manufacturing Industrial Production</t>
  </si>
  <si>
    <t xml:space="preserve">Subtitle: Index (Dec 2024 = 100), simple linear trend fit to 2023-2024</t>
  </si>
  <si>
    <t xml:space="preserve">Source: Federal Reserve via Haver Analytics</t>
  </si>
  <si>
    <t xml:space="preserve">Industrial production index (Dec 2024 = 100)</t>
  </si>
  <si>
    <t xml:space="preserve">Figure 11. Nominal Effective Exchange Rates (Daily)</t>
  </si>
  <si>
    <t xml:space="preserve">Subtitle: BIS broad NEER index (Dec 2024 average = 100), increase = appreciation</t>
  </si>
  <si>
    <t xml:space="preserve">Source: Haver Analytics (INTDAILY)</t>
  </si>
  <si>
    <t xml:space="preserve">US Dollar</t>
  </si>
  <si>
    <t xml:space="preserve">Mexico (MXN)</t>
  </si>
  <si>
    <t xml:space="preserve">Canada (CAD)</t>
  </si>
  <si>
    <t xml:space="preserve">China (CNY)</t>
  </si>
  <si>
    <t xml:space="preserve">Figure 12. Real US Imports and Exports</t>
  </si>
  <si>
    <t xml:space="preserve">Subtitle: Billions of 2025 USD, simple linear trend (2023-2024)</t>
  </si>
  <si>
    <t xml:space="preserve">Source: Census Bureau via Haver Analytics</t>
  </si>
  <si>
    <t xml:space="preserve">Real imports (millions 2025 USD)</t>
  </si>
  <si>
    <t xml:space="preserve">Imports trend (millions 2025 USD)</t>
  </si>
  <si>
    <t xml:space="preserve">Real exports (millions 2025 USD)</t>
  </si>
  <si>
    <t xml:space="preserve">Exports trend (millions 2025 USD)</t>
  </si>
  <si>
    <t xml:space="preserve">Imports deviation from trend (%)</t>
  </si>
  <si>
    <t xml:space="preserve">Exports deviation from trend (%)</t>
  </si>
  <si>
    <t xml:space="preserve">Figure 13a. Trade Deviation from Trend</t>
  </si>
  <si>
    <t xml:space="preserve">Subtitle: Percent difference from pre-2025 trend</t>
  </si>
  <si>
    <t xml:space="preserve">Real imports</t>
  </si>
  <si>
    <t xml:space="preserve">Imports trend</t>
  </si>
  <si>
    <t xml:space="preserve">Real exports</t>
  </si>
  <si>
    <t xml:space="preserve">Exports trend</t>
  </si>
  <si>
    <t xml:space="preserve">Figure 13b. Cumulative Import Gap vs. Trend</t>
  </si>
  <si>
    <t xml:space="preserve">Subtitle: Running total of monthly import gap since Dec 2024 (billions 2025 USD)</t>
  </si>
  <si>
    <t xml:space="preserve">Monthly gap (billions USD)</t>
  </si>
  <si>
    <t xml:space="preserve">Cumulative gap (billions USD)</t>
  </si>
  <si>
    <t xml:space="preserve">Figure A1. PCE Core Goods &amp; Durables Prices (Log-Linear Trend)</t>
  </si>
  <si>
    <t xml:space="preserve">Subtitle: Index (Dec 2024 = 100), log-linear trend (2023-2024 estimation) with 90% CIs</t>
  </si>
  <si>
    <t xml:space="preserve">Core goods trend (log-linear)</t>
  </si>
  <si>
    <t xml:space="preserve">Durable goods trend (log-linear)</t>
  </si>
  <si>
    <t xml:space="preserve">Figure A2. PCE Goods Prices: Deviation from Log-Linear Trend</t>
  </si>
  <si>
    <t xml:space="preserve">Subtitle: Percent difference from trend (log-linear, 2023-2024 estimation)</t>
  </si>
  <si>
    <t xml:space="preserve">Tracking the Economic Effects of Tariffs</t>
  </si>
  <si>
    <t xml:space="preserve">March 2026</t>
  </si>
  <si>
    <t xml:space="preserve">The Budget Lab at Yale</t>
  </si>
  <si>
    <t xml:space="preserve">Tables and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</si>
</sst>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mmm-yy"/>
    <numFmt numFmtId="167" formatCode="0.00"/>
    <numFmt numFmtId="168" formatCode="yyyy-mm-dd"/>
  </numFmts>
  <fonts count="5">
    <font>
      <sz val="11"/>
      <color rgb="FF000000"/>
      <name val="Calibri"/>
      <family val="2"/>
      <scheme val="minor"/>
    </font>
    <font>
      <sz val="11"/>
      <color rgb="FF000000"/>
      <name val="Aptos Narrow"/>
      <b/>
    </font>
    <font>
      <sz val="11"/>
      <color rgb="FF000000"/>
      <name val="Aptos Narrow"/>
    </font>
    <font>
      <sz val="11"/>
      <color rgb="FF000000"/>
      <name val="Calibri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Font="1" applyNumberFormat="1"/>
    <xf numFmtId="0" fontId="1" fillId="0" borderId="1" xfId="0" applyFont="1" applyBorder="1" applyAlignment="1">
      <alignment horizontal="center"/>
    </xf>
    <xf numFmtId="166" fontId="2" fillId="0" borderId="0" xfId="0" applyFont="1" applyNumberFormat="1" applyAlignment="1">
      <alignment horizontal="center"/>
    </xf>
    <xf numFmtId="167" fontId="2" fillId="0" borderId="0" xfId="0" applyFont="1" applyNumberFormat="1" applyAlignment="1">
      <alignment horizontal="center"/>
    </xf>
    <xf numFmtId="14" fontId="3" fillId="0" borderId="1" xfId="0" applyFont="1" applyNumberFormat="1" applyBorder="1"/>
    <xf numFmtId="166" fontId="2" fillId="0" borderId="1" xfId="0" applyFont="1" applyNumberFormat="1" applyBorder="1" applyAlignment="1">
      <alignment horizontal="center"/>
    </xf>
    <xf numFmtId="167" fontId="2" fillId="0" borderId="1" xfId="0" applyFont="1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8" fontId="2" fillId="0" borderId="0" xfId="0" applyFont="1" applyNumberFormat="1" applyAlignment="1">
      <alignment horizontal="center"/>
    </xf>
    <xf numFmtId="168" fontId="2" fillId="0" borderId="1" xfId="0" applyFont="1" applyNumberForma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81.71" hidden="0" customWidth="1"/>
    <col min="2" max="2" width="28.71" hidden="0" customWidth="1"/>
    <col min="3" max="3" width="25.71" hidden="0" customWidth="1"/>
    <col min="4" max="4" width="43.71" hidden="0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6">
      <c r="A6" s="4" t="s">
        <v>4</v>
      </c>
      <c r="B6" s="4" t="s">
        <v>5</v>
      </c>
      <c r="C6" s="4" t="s">
        <v>6</v>
      </c>
      <c r="D6" s="4" t="s">
        <v>7</v>
      </c>
    </row>
    <row r="7">
      <c r="A7" s="5" t="n">
        <v>43831</v>
      </c>
      <c r="B7" s="6" t="n">
        <v>6918</v>
      </c>
      <c r="C7" s="6" t="n">
        <v>8722.27241046474</v>
      </c>
      <c r="D7" s="6" t="n">
        <v>7596.14230184304</v>
      </c>
    </row>
    <row r="8">
      <c r="A8" s="5" t="n">
        <v>43862</v>
      </c>
      <c r="B8" s="6" t="n">
        <v>6286</v>
      </c>
      <c r="C8" s="6" t="n">
        <v>7903.78026735942</v>
      </c>
      <c r="D8" s="6" t="n">
        <v>7596.14230184304</v>
      </c>
    </row>
    <row r="9">
      <c r="A9" s="5" t="n">
        <v>43891</v>
      </c>
      <c r="B9" s="6" t="n">
        <v>4815</v>
      </c>
      <c r="C9" s="6" t="n">
        <v>6067.40553629196</v>
      </c>
      <c r="D9" s="6" t="n">
        <v>7596.14230184304</v>
      </c>
    </row>
    <row r="10">
      <c r="A10" s="5" t="n">
        <v>43922</v>
      </c>
      <c r="B10" s="6" t="n">
        <v>4114</v>
      </c>
      <c r="C10" s="6" t="n">
        <v>5218.97089188694</v>
      </c>
      <c r="D10" s="6" t="n">
        <v>7596.14230184304</v>
      </c>
    </row>
    <row r="11">
      <c r="A11" s="5" t="n">
        <v>43952</v>
      </c>
      <c r="B11" s="6" t="n">
        <v>3833</v>
      </c>
      <c r="C11" s="6" t="n">
        <v>4862.40284874061</v>
      </c>
      <c r="D11" s="6" t="n">
        <v>7596.14230184304</v>
      </c>
    </row>
    <row r="12">
      <c r="A12" s="5" t="n">
        <v>43983</v>
      </c>
      <c r="B12" s="6" t="n">
        <v>4480</v>
      </c>
      <c r="C12" s="6" t="n">
        <v>5652.23396703608</v>
      </c>
      <c r="D12" s="6" t="n">
        <v>7596.14230184304</v>
      </c>
    </row>
    <row r="13">
      <c r="A13" s="5" t="n">
        <v>44013</v>
      </c>
      <c r="B13" s="6" t="n">
        <v>5013</v>
      </c>
      <c r="C13" s="6" t="n">
        <v>6292.86755357949</v>
      </c>
      <c r="D13" s="6" t="n">
        <v>7596.14230184304</v>
      </c>
    </row>
    <row r="14">
      <c r="A14" s="5" t="n">
        <v>44044</v>
      </c>
      <c r="B14" s="6" t="n">
        <v>5896</v>
      </c>
      <c r="C14" s="6" t="n">
        <v>7378.04150539786</v>
      </c>
      <c r="D14" s="6" t="n">
        <v>7596.14230184304</v>
      </c>
    </row>
    <row r="15">
      <c r="A15" s="5" t="n">
        <v>44075</v>
      </c>
      <c r="B15" s="6" t="n">
        <v>6049</v>
      </c>
      <c r="C15" s="6" t="n">
        <v>7558.97244505917</v>
      </c>
      <c r="D15" s="6" t="n">
        <v>7596.14230184304</v>
      </c>
    </row>
    <row r="16">
      <c r="A16" s="5" t="n">
        <v>44105</v>
      </c>
      <c r="B16" s="6" t="n">
        <v>6156</v>
      </c>
      <c r="C16" s="6" t="n">
        <v>7689.49149730402</v>
      </c>
      <c r="D16" s="6" t="n">
        <v>7596.14230184304</v>
      </c>
    </row>
    <row r="17">
      <c r="A17" s="5" t="n">
        <v>44136</v>
      </c>
      <c r="B17" s="6" t="n">
        <v>5965</v>
      </c>
      <c r="C17" s="6" t="n">
        <v>7455.4649174381</v>
      </c>
      <c r="D17" s="6" t="n">
        <v>7596.14230184304</v>
      </c>
    </row>
    <row r="18">
      <c r="A18" s="5" t="n">
        <v>44166</v>
      </c>
      <c r="B18" s="6" t="n">
        <v>6047</v>
      </c>
      <c r="C18" s="6" t="n">
        <v>7550.84516688806</v>
      </c>
      <c r="D18" s="6" t="n">
        <v>7596.14230184304</v>
      </c>
    </row>
    <row r="19">
      <c r="A19" s="5" t="n">
        <v>44197</v>
      </c>
      <c r="B19" s="6" t="n">
        <v>5871</v>
      </c>
      <c r="C19" s="6" t="n">
        <v>7300.02252448563</v>
      </c>
      <c r="D19" s="6" t="n">
        <v>7596.14230184304</v>
      </c>
    </row>
    <row r="20">
      <c r="A20" s="5" t="n">
        <v>44228</v>
      </c>
      <c r="B20" s="6" t="n">
        <v>6323</v>
      </c>
      <c r="C20" s="6" t="n">
        <v>7819.23546275103</v>
      </c>
      <c r="D20" s="6" t="n">
        <v>7596.14230184304</v>
      </c>
    </row>
    <row r="21">
      <c r="A21" s="5" t="n">
        <v>44256</v>
      </c>
      <c r="B21" s="6" t="n">
        <v>6275</v>
      </c>
      <c r="C21" s="6" t="n">
        <v>7705.29830827139</v>
      </c>
      <c r="D21" s="6" t="n">
        <v>7596.14230184304</v>
      </c>
    </row>
    <row r="22">
      <c r="A22" s="5" t="n">
        <v>44287</v>
      </c>
      <c r="B22" s="6" t="n">
        <v>7128</v>
      </c>
      <c r="C22" s="6" t="n">
        <v>8681.37626098093</v>
      </c>
      <c r="D22" s="6" t="n">
        <v>7596.14230184304</v>
      </c>
    </row>
    <row r="23">
      <c r="A23" s="5" t="n">
        <v>44317</v>
      </c>
      <c r="B23" s="6" t="n">
        <v>6433</v>
      </c>
      <c r="C23" s="6" t="n">
        <v>7772.60393395123</v>
      </c>
      <c r="D23" s="6" t="n">
        <v>7596.14230184304</v>
      </c>
    </row>
    <row r="24">
      <c r="A24" s="5" t="n">
        <v>44348</v>
      </c>
      <c r="B24" s="6" t="n">
        <v>7150</v>
      </c>
      <c r="C24" s="6" t="n">
        <v>8559.3891702491</v>
      </c>
      <c r="D24" s="6" t="n">
        <v>7596.14230184304</v>
      </c>
    </row>
    <row r="25">
      <c r="A25" s="5" t="n">
        <v>44378</v>
      </c>
      <c r="B25" s="6" t="n">
        <v>7509</v>
      </c>
      <c r="C25" s="6" t="n">
        <v>8946.11878990341</v>
      </c>
      <c r="D25" s="6" t="n">
        <v>7596.14230184304</v>
      </c>
    </row>
    <row r="26">
      <c r="A26" s="5" t="n">
        <v>44409</v>
      </c>
      <c r="B26" s="6" t="n">
        <v>7270</v>
      </c>
      <c r="C26" s="6" t="n">
        <v>8643.52074628884</v>
      </c>
      <c r="D26" s="6" t="n">
        <v>7596.14230184304</v>
      </c>
    </row>
    <row r="27">
      <c r="A27" s="5" t="n">
        <v>44440</v>
      </c>
      <c r="B27" s="6" t="n">
        <v>7857</v>
      </c>
      <c r="C27" s="6" t="n">
        <v>9316.12031643032</v>
      </c>
      <c r="D27" s="6" t="n">
        <v>7596.14230184304</v>
      </c>
    </row>
    <row r="28">
      <c r="A28" s="5" t="n">
        <v>44470</v>
      </c>
      <c r="B28" s="6" t="n">
        <v>7770</v>
      </c>
      <c r="C28" s="6" t="n">
        <v>9137.05187118794</v>
      </c>
      <c r="D28" s="6" t="n">
        <v>7596.14230184304</v>
      </c>
    </row>
    <row r="29">
      <c r="A29" s="5" t="n">
        <v>44501</v>
      </c>
      <c r="B29" s="6" t="n">
        <v>7816</v>
      </c>
      <c r="C29" s="6" t="n">
        <v>9146.20588023659</v>
      </c>
      <c r="D29" s="6" t="n">
        <v>7596.14230184304</v>
      </c>
    </row>
    <row r="30">
      <c r="A30" s="5" t="n">
        <v>44531</v>
      </c>
      <c r="B30" s="6" t="n">
        <v>8187</v>
      </c>
      <c r="C30" s="6" t="n">
        <v>9551.00079626402</v>
      </c>
      <c r="D30" s="6" t="n">
        <v>7596.14230184304</v>
      </c>
    </row>
    <row r="31">
      <c r="A31" s="5" t="n">
        <v>44562</v>
      </c>
      <c r="B31" s="6" t="n">
        <v>8587</v>
      </c>
      <c r="C31" s="6" t="n">
        <v>9934.05225717416</v>
      </c>
      <c r="D31" s="6" t="n">
        <v>7596.14230184304</v>
      </c>
    </row>
    <row r="32">
      <c r="A32" s="5" t="n">
        <v>44593</v>
      </c>
      <c r="B32" s="6" t="n">
        <v>8049</v>
      </c>
      <c r="C32" s="6" t="n">
        <v>9227.37296451381</v>
      </c>
      <c r="D32" s="6" t="n">
        <v>7596.14230184304</v>
      </c>
    </row>
    <row r="33">
      <c r="A33" s="5" t="n">
        <v>44621</v>
      </c>
      <c r="B33" s="6" t="n">
        <v>8151</v>
      </c>
      <c r="C33" s="6" t="n">
        <v>9221.19014691969</v>
      </c>
      <c r="D33" s="6" t="n">
        <v>7596.14230184304</v>
      </c>
    </row>
    <row r="34">
      <c r="A34" s="5" t="n">
        <v>44652</v>
      </c>
      <c r="B34" s="6" t="n">
        <v>9162</v>
      </c>
      <c r="C34" s="6" t="n">
        <v>10307.3886458049</v>
      </c>
      <c r="D34" s="6" t="n">
        <v>7596.14230184304</v>
      </c>
    </row>
    <row r="35">
      <c r="A35" s="5" t="n">
        <v>44682</v>
      </c>
      <c r="B35" s="6" t="n">
        <v>8095</v>
      </c>
      <c r="C35" s="6" t="n">
        <v>9007.70089224622</v>
      </c>
      <c r="D35" s="6" t="n">
        <v>7596.14230184304</v>
      </c>
    </row>
    <row r="36">
      <c r="A36" s="5" t="n">
        <v>44713</v>
      </c>
      <c r="B36" s="6" t="n">
        <v>8364</v>
      </c>
      <c r="C36" s="6" t="n">
        <v>9180.92047882124</v>
      </c>
      <c r="D36" s="6" t="n">
        <v>7596.14230184304</v>
      </c>
    </row>
    <row r="37">
      <c r="A37" s="5" t="n">
        <v>44743</v>
      </c>
      <c r="B37" s="6" t="n">
        <v>8530</v>
      </c>
      <c r="C37" s="6" t="n">
        <v>9364.23996543763</v>
      </c>
      <c r="D37" s="6" t="n">
        <v>7596.14230184304</v>
      </c>
    </row>
    <row r="38">
      <c r="A38" s="5" t="n">
        <v>44774</v>
      </c>
      <c r="B38" s="6" t="n">
        <v>8456</v>
      </c>
      <c r="C38" s="6" t="n">
        <v>9286.29376947777</v>
      </c>
      <c r="D38" s="6" t="n">
        <v>7596.14230184304</v>
      </c>
    </row>
    <row r="39">
      <c r="A39" s="5" t="n">
        <v>44805</v>
      </c>
      <c r="B39" s="6" t="n">
        <v>8741</v>
      </c>
      <c r="C39" s="6" t="n">
        <v>9578.67622166518</v>
      </c>
      <c r="D39" s="6" t="n">
        <v>7596.14230184304</v>
      </c>
    </row>
    <row r="40">
      <c r="A40" s="5" t="n">
        <v>44835</v>
      </c>
      <c r="B40" s="6" t="n">
        <v>8163</v>
      </c>
      <c r="C40" s="6" t="n">
        <v>8909.14485322739</v>
      </c>
      <c r="D40" s="6" t="n">
        <v>7596.14230184304</v>
      </c>
    </row>
    <row r="41">
      <c r="A41" s="5" t="n">
        <v>44866</v>
      </c>
      <c r="B41" s="6" t="n">
        <v>7171</v>
      </c>
      <c r="C41" s="6" t="n">
        <v>7834.38331805006</v>
      </c>
      <c r="D41" s="6" t="n">
        <v>7596.14230184304</v>
      </c>
    </row>
    <row r="42">
      <c r="A42" s="5" t="n">
        <v>44896</v>
      </c>
      <c r="B42" s="6" t="n">
        <v>6552</v>
      </c>
      <c r="C42" s="6" t="n">
        <v>7180.16389653534</v>
      </c>
      <c r="D42" s="6" t="n">
        <v>7596.14230184304</v>
      </c>
    </row>
    <row r="43">
      <c r="A43" s="5" t="n">
        <v>44927</v>
      </c>
      <c r="B43" s="6" t="n">
        <v>6838</v>
      </c>
      <c r="C43" s="6" t="n">
        <v>7434.1450546512</v>
      </c>
      <c r="D43" s="6" t="n">
        <v>7596.14230184304</v>
      </c>
    </row>
    <row r="44">
      <c r="A44" s="5" t="n">
        <v>44958</v>
      </c>
      <c r="B44" s="6" t="n">
        <v>6349</v>
      </c>
      <c r="C44" s="6" t="n">
        <v>6864.19674245446</v>
      </c>
      <c r="D44" s="6" t="n">
        <v>7596.14230184304</v>
      </c>
    </row>
    <row r="45">
      <c r="A45" s="5" t="n">
        <v>44986</v>
      </c>
      <c r="B45" s="6" t="n">
        <v>6152</v>
      </c>
      <c r="C45" s="6" t="n">
        <v>6629.26325554274</v>
      </c>
      <c r="D45" s="6" t="n">
        <v>7596.14230184304</v>
      </c>
    </row>
    <row r="46">
      <c r="A46" s="5" t="n">
        <v>45017</v>
      </c>
      <c r="B46" s="6" t="n">
        <v>6350</v>
      </c>
      <c r="C46" s="6" t="n">
        <v>6808.18095812607</v>
      </c>
      <c r="D46" s="6" t="n">
        <v>7596.14230184304</v>
      </c>
    </row>
    <row r="47">
      <c r="A47" s="5" t="n">
        <v>45047</v>
      </c>
      <c r="B47" s="6" t="n">
        <v>6373</v>
      </c>
      <c r="C47" s="6" t="n">
        <v>6815.67567496473</v>
      </c>
      <c r="D47" s="6" t="n">
        <v>7596.14230184304</v>
      </c>
    </row>
    <row r="48">
      <c r="A48" s="5" t="n">
        <v>45078</v>
      </c>
      <c r="B48" s="6" t="n">
        <v>6475</v>
      </c>
      <c r="C48" s="6" t="n">
        <v>6902.47321449056</v>
      </c>
      <c r="D48" s="6" t="n">
        <v>7596.14230184304</v>
      </c>
    </row>
    <row r="49">
      <c r="A49" s="5" t="n">
        <v>45108</v>
      </c>
      <c r="B49" s="6" t="n">
        <v>6910</v>
      </c>
      <c r="C49" s="6" t="n">
        <v>7352.16712300984</v>
      </c>
      <c r="D49" s="6" t="n">
        <v>7596.14230184304</v>
      </c>
    </row>
    <row r="50">
      <c r="A50" s="5" t="n">
        <v>45139</v>
      </c>
      <c r="B50" s="6" t="n">
        <v>6325</v>
      </c>
      <c r="C50" s="6" t="n">
        <v>6700.4712955906</v>
      </c>
      <c r="D50" s="6" t="n">
        <v>7596.14230184304</v>
      </c>
    </row>
    <row r="51">
      <c r="A51" s="5" t="n">
        <v>45170</v>
      </c>
      <c r="B51" s="6" t="n">
        <v>6678</v>
      </c>
      <c r="C51" s="6" t="n">
        <v>7056.88915458317</v>
      </c>
      <c r="D51" s="6" t="n">
        <v>7596.14230184304</v>
      </c>
    </row>
    <row r="52">
      <c r="A52" s="5" t="n">
        <v>45200</v>
      </c>
      <c r="B52" s="6" t="n">
        <v>6903</v>
      </c>
      <c r="C52" s="6" t="n">
        <v>7297.4526555964</v>
      </c>
      <c r="D52" s="6" t="n">
        <v>7596.14230184304</v>
      </c>
    </row>
    <row r="53">
      <c r="A53" s="5" t="n">
        <v>45231</v>
      </c>
      <c r="B53" s="6" t="n">
        <v>6296</v>
      </c>
      <c r="C53" s="6" t="n">
        <v>6669.2067181022</v>
      </c>
      <c r="D53" s="6" t="n">
        <v>7596.14230184304</v>
      </c>
    </row>
    <row r="54">
      <c r="A54" s="5" t="n">
        <v>45261</v>
      </c>
      <c r="B54" s="6" t="n">
        <v>5744</v>
      </c>
      <c r="C54" s="6" t="n">
        <v>6090.53577878766</v>
      </c>
      <c r="D54" s="6" t="n">
        <v>7596.14230184304</v>
      </c>
    </row>
    <row r="55">
      <c r="A55" s="5" t="n">
        <v>45292</v>
      </c>
      <c r="B55" s="6" t="n">
        <v>6477</v>
      </c>
      <c r="C55" s="6" t="n">
        <v>6830.54826420074</v>
      </c>
      <c r="D55" s="6" t="n">
        <v>7596.14230184304</v>
      </c>
    </row>
    <row r="56">
      <c r="A56" s="5" t="n">
        <v>45323</v>
      </c>
      <c r="B56" s="6" t="n">
        <v>6208</v>
      </c>
      <c r="C56" s="6" t="n">
        <v>6506.5911847541</v>
      </c>
      <c r="D56" s="6" t="n">
        <v>7596.14230184304</v>
      </c>
    </row>
    <row r="57">
      <c r="A57" s="5" t="n">
        <v>45352</v>
      </c>
      <c r="B57" s="6" t="n">
        <v>6064</v>
      </c>
      <c r="C57" s="6" t="n">
        <v>6314.84487020222</v>
      </c>
      <c r="D57" s="6" t="n">
        <v>7596.14230184304</v>
      </c>
    </row>
    <row r="58">
      <c r="A58" s="5" t="n">
        <v>45383</v>
      </c>
      <c r="B58" s="6" t="n">
        <v>6367</v>
      </c>
      <c r="C58" s="6" t="n">
        <v>6604.66494444232</v>
      </c>
      <c r="D58" s="6" t="n">
        <v>7596.14230184304</v>
      </c>
    </row>
    <row r="59">
      <c r="A59" s="5" t="n">
        <v>45413</v>
      </c>
      <c r="B59" s="6" t="n">
        <v>5225</v>
      </c>
      <c r="C59" s="6" t="n">
        <v>5411.04566194053</v>
      </c>
      <c r="D59" s="6" t="n">
        <v>7596.14230184304</v>
      </c>
    </row>
    <row r="60">
      <c r="A60" s="5" t="n">
        <v>45444</v>
      </c>
      <c r="B60" s="6" t="n">
        <v>6323</v>
      </c>
      <c r="C60" s="6" t="n">
        <v>6545.93266809899</v>
      </c>
      <c r="D60" s="6" t="n">
        <v>7596.14230184304</v>
      </c>
    </row>
    <row r="61">
      <c r="A61" s="5" t="n">
        <v>45474</v>
      </c>
      <c r="B61" s="6" t="n">
        <v>7133</v>
      </c>
      <c r="C61" s="6" t="n">
        <v>7375.92203217397</v>
      </c>
      <c r="D61" s="6" t="n">
        <v>7596.14230184304</v>
      </c>
    </row>
    <row r="62">
      <c r="A62" s="5" t="n">
        <v>45505</v>
      </c>
      <c r="B62" s="6" t="n">
        <v>7047</v>
      </c>
      <c r="C62" s="6" t="n">
        <v>7281.0672435482</v>
      </c>
      <c r="D62" s="6" t="n">
        <v>7596.14230184304</v>
      </c>
    </row>
    <row r="63">
      <c r="A63" s="5" t="n">
        <v>45536</v>
      </c>
      <c r="B63" s="6" t="n">
        <v>7249</v>
      </c>
      <c r="C63" s="6" t="n">
        <v>7477.78074918887</v>
      </c>
      <c r="D63" s="6" t="n">
        <v>7596.14230184304</v>
      </c>
    </row>
    <row r="64">
      <c r="A64" s="5" t="n">
        <v>45566</v>
      </c>
      <c r="B64" s="6" t="n">
        <v>7297</v>
      </c>
      <c r="C64" s="6" t="n">
        <v>7518.63957879264</v>
      </c>
      <c r="D64" s="6" t="n">
        <v>7596.14230184304</v>
      </c>
    </row>
    <row r="65">
      <c r="A65" s="5" t="n">
        <v>45597</v>
      </c>
      <c r="B65" s="6" t="n">
        <v>6712</v>
      </c>
      <c r="C65" s="6" t="n">
        <v>6919.61921183671</v>
      </c>
      <c r="D65" s="6" t="n">
        <v>7596.14230184304</v>
      </c>
    </row>
    <row r="66">
      <c r="A66" s="5" t="n">
        <v>45627</v>
      </c>
      <c r="B66" s="6" t="n">
        <v>6814</v>
      </c>
      <c r="C66" s="6" t="n">
        <v>7022.281421397</v>
      </c>
      <c r="D66" s="6" t="n">
        <v>7596.14230184304</v>
      </c>
    </row>
    <row r="67">
      <c r="A67" s="5" t="n">
        <v>45658</v>
      </c>
      <c r="B67" s="6" t="n">
        <v>7341</v>
      </c>
      <c r="C67" s="6" t="n">
        <v>7516.18791768843</v>
      </c>
      <c r="D67" s="6" t="n">
        <v>7596.14230184304</v>
      </c>
    </row>
    <row r="68">
      <c r="A68" s="5" t="n">
        <v>45689</v>
      </c>
      <c r="B68" s="6" t="n">
        <v>7247</v>
      </c>
      <c r="C68" s="6" t="n">
        <v>7387.13322594192</v>
      </c>
      <c r="D68" s="6" t="n">
        <v>7596.14230184304</v>
      </c>
    </row>
    <row r="69">
      <c r="A69" s="5" t="n">
        <v>45717</v>
      </c>
      <c r="B69" s="6" t="n">
        <v>8168</v>
      </c>
      <c r="C69" s="6" t="n">
        <v>8307.2753073024</v>
      </c>
      <c r="D69" s="6" t="n">
        <v>7596.14230184304</v>
      </c>
    </row>
    <row r="70">
      <c r="A70" s="5" t="n">
        <v>45748</v>
      </c>
      <c r="B70" s="6" t="n">
        <v>15634</v>
      </c>
      <c r="C70" s="6" t="n">
        <v>15851.2126685266</v>
      </c>
      <c r="D70" s="6" t="n">
        <v>7596.14230184304</v>
      </c>
    </row>
    <row r="71">
      <c r="A71" s="5" t="n">
        <v>45778</v>
      </c>
      <c r="B71" s="6" t="n">
        <v>22173</v>
      </c>
      <c r="C71" s="6" t="n">
        <v>22434.2077551211</v>
      </c>
      <c r="D71" s="6" t="n">
        <v>7596.14230184304</v>
      </c>
    </row>
    <row r="72">
      <c r="A72" s="5" t="n">
        <v>45809</v>
      </c>
      <c r="B72" s="6" t="n">
        <v>26632</v>
      </c>
      <c r="C72" s="6" t="n">
        <v>26854.1803379826</v>
      </c>
      <c r="D72" s="6" t="n">
        <v>7596.14230184304</v>
      </c>
    </row>
    <row r="73">
      <c r="A73" s="5" t="n">
        <v>45839</v>
      </c>
      <c r="B73" s="6" t="n">
        <v>27670</v>
      </c>
      <c r="C73" s="6" t="n">
        <v>27858.7790049776</v>
      </c>
      <c r="D73" s="6" t="n">
        <v>7596.14230184304</v>
      </c>
    </row>
    <row r="74">
      <c r="A74" s="5" t="n">
        <v>45870</v>
      </c>
      <c r="B74" s="6" t="n">
        <v>29503</v>
      </c>
      <c r="C74" s="6" t="n">
        <v>29619.199434526</v>
      </c>
      <c r="D74" s="6" t="n">
        <v>7596.14230184304</v>
      </c>
    </row>
    <row r="75">
      <c r="A75" s="5" t="n">
        <v>45901</v>
      </c>
      <c r="B75" s="6" t="n">
        <v>29675</v>
      </c>
      <c r="C75" s="6" t="n">
        <v>29716.2964901478</v>
      </c>
      <c r="D75" s="6" t="n">
        <v>7596.14230184304</v>
      </c>
    </row>
    <row r="76">
      <c r="A76" s="5" t="n">
        <v>45931</v>
      </c>
      <c r="B76" s="6" t="n">
        <v>31354</v>
      </c>
      <c r="C76" s="6" t="n">
        <v>31430.437581096</v>
      </c>
      <c r="D76" s="6" t="n">
        <v>7596.14230184304</v>
      </c>
    </row>
    <row r="77">
      <c r="A77" s="5" t="n">
        <v>45962</v>
      </c>
      <c r="B77" s="6" t="n">
        <v>30756</v>
      </c>
      <c r="C77" s="6" t="n">
        <v>30863.2259211038</v>
      </c>
      <c r="D77" s="6" t="n">
        <v>7596.14230184304</v>
      </c>
    </row>
    <row r="78">
      <c r="A78" s="5" t="n">
        <v>45992</v>
      </c>
      <c r="B78" s="6" t="n">
        <v>27892</v>
      </c>
      <c r="C78" s="6" t="n">
        <v>27995.11434514</v>
      </c>
      <c r="D78" s="6" t="n">
        <v>7596.14230184304</v>
      </c>
    </row>
    <row r="79">
      <c r="A79" s="8" t="n">
        <v>46023</v>
      </c>
      <c r="B79" s="9" t="n">
        <v>27742</v>
      </c>
      <c r="C79" s="9" t="n">
        <v>27742</v>
      </c>
      <c r="D79" s="9" t="n">
        <v>7596.14230184304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56.71" hidden="0" customWidth="1"/>
    <col min="2" max="2" width="28.71" hidden="0" customWidth="1"/>
    <col min="3" max="3" width="27.71" hidden="0" customWidth="1"/>
    <col min="4" max="4" width="25.71" hidden="0" customWidth="1"/>
  </cols>
  <sheetData>
    <row r="1">
      <c r="A1" s="1" t="s">
        <v>8</v>
      </c>
    </row>
    <row r="2">
      <c r="A2" s="2" t="s">
        <v>9</v>
      </c>
    </row>
    <row r="3">
      <c r="A3" s="2" t="s">
        <v>10</v>
      </c>
    </row>
    <row r="5">
      <c r="A5" s="4" t="s">
        <v>4</v>
      </c>
      <c r="B5" s="4" t="s">
        <v>5</v>
      </c>
      <c r="C5" s="4" t="s">
        <v>11</v>
      </c>
      <c r="D5" s="4" t="s">
        <v>12</v>
      </c>
    </row>
    <row r="6">
      <c r="A6" s="5" t="n">
        <v>43831</v>
      </c>
      <c r="B6" s="6" t="n">
        <v>6918</v>
      </c>
      <c r="C6" s="6" t="n">
        <v>195796.2</v>
      </c>
      <c r="D6" s="6" t="n">
        <v>3.53326571200054</v>
      </c>
    </row>
    <row r="7">
      <c r="A7" s="5" t="n">
        <v>43862</v>
      </c>
      <c r="B7" s="6" t="n">
        <v>6286</v>
      </c>
      <c r="C7" s="6" t="n">
        <v>178108</v>
      </c>
      <c r="D7" s="6" t="n">
        <v>3.5293192894199</v>
      </c>
    </row>
    <row r="8">
      <c r="A8" s="5" t="n">
        <v>43891</v>
      </c>
      <c r="B8" s="6" t="n">
        <v>4815</v>
      </c>
      <c r="C8" s="6" t="n">
        <v>193922.8</v>
      </c>
      <c r="D8" s="6" t="n">
        <v>2.48294682213747</v>
      </c>
    </row>
    <row r="9">
      <c r="A9" s="5" t="n">
        <v>43922</v>
      </c>
      <c r="B9" s="6" t="n">
        <v>4114</v>
      </c>
      <c r="C9" s="6" t="n">
        <v>165611.9</v>
      </c>
      <c r="D9" s="6" t="n">
        <v>2.48412100821257</v>
      </c>
    </row>
    <row r="10">
      <c r="A10" s="5" t="n">
        <v>43952</v>
      </c>
      <c r="B10" s="6" t="n">
        <v>3833</v>
      </c>
      <c r="C10" s="6" t="n">
        <v>163494.1</v>
      </c>
      <c r="D10" s="6" t="n">
        <v>2.34442710776719</v>
      </c>
    </row>
    <row r="11">
      <c r="A11" s="5" t="n">
        <v>43983</v>
      </c>
      <c r="B11" s="6" t="n">
        <v>4480</v>
      </c>
      <c r="C11" s="6" t="n">
        <v>179138.1</v>
      </c>
      <c r="D11" s="6" t="n">
        <v>2.50086385866547</v>
      </c>
    </row>
    <row r="12">
      <c r="A12" s="5" t="n">
        <v>44013</v>
      </c>
      <c r="B12" s="6" t="n">
        <v>5013</v>
      </c>
      <c r="C12" s="6" t="n">
        <v>199927.7</v>
      </c>
      <c r="D12" s="6" t="n">
        <v>2.50740642742351</v>
      </c>
    </row>
    <row r="13">
      <c r="A13" s="5" t="n">
        <v>44044</v>
      </c>
      <c r="B13" s="6" t="n">
        <v>5896</v>
      </c>
      <c r="C13" s="6" t="n">
        <v>203112</v>
      </c>
      <c r="D13" s="6" t="n">
        <v>2.90283193509</v>
      </c>
    </row>
    <row r="14">
      <c r="A14" s="5" t="n">
        <v>44075</v>
      </c>
      <c r="B14" s="6" t="n">
        <v>6049</v>
      </c>
      <c r="C14" s="6" t="n">
        <v>206083.7</v>
      </c>
      <c r="D14" s="6" t="n">
        <v>2.93521515772475</v>
      </c>
    </row>
    <row r="15">
      <c r="A15" s="5" t="n">
        <v>44105</v>
      </c>
      <c r="B15" s="6" t="n">
        <v>6156</v>
      </c>
      <c r="C15" s="6" t="n">
        <v>218952.6</v>
      </c>
      <c r="D15" s="6" t="n">
        <v>2.8115674351435</v>
      </c>
    </row>
    <row r="16">
      <c r="A16" s="5" t="n">
        <v>44136</v>
      </c>
      <c r="B16" s="6" t="n">
        <v>5965</v>
      </c>
      <c r="C16" s="6" t="n">
        <v>212453.3</v>
      </c>
      <c r="D16" s="6" t="n">
        <v>2.80767585158715</v>
      </c>
    </row>
    <row r="17">
      <c r="A17" s="5" t="n">
        <v>44166</v>
      </c>
      <c r="B17" s="6" t="n">
        <v>6047</v>
      </c>
      <c r="C17" s="6" t="n">
        <v>214876.8</v>
      </c>
      <c r="D17" s="6" t="n">
        <v>2.81417072480603</v>
      </c>
    </row>
    <row r="18">
      <c r="A18" s="5" t="n">
        <v>44197</v>
      </c>
      <c r="B18" s="6" t="n">
        <v>5871</v>
      </c>
      <c r="C18" s="6" t="n">
        <v>204628.3</v>
      </c>
      <c r="D18" s="6" t="n">
        <v>2.86910461553949</v>
      </c>
    </row>
    <row r="19">
      <c r="A19" s="5" t="n">
        <v>44228</v>
      </c>
      <c r="B19" s="6" t="n">
        <v>6323</v>
      </c>
      <c r="C19" s="6" t="n">
        <v>193435.1</v>
      </c>
      <c r="D19" s="6" t="n">
        <v>3.26879661447173</v>
      </c>
    </row>
    <row r="20">
      <c r="A20" s="5" t="n">
        <v>44256</v>
      </c>
      <c r="B20" s="6" t="n">
        <v>6275</v>
      </c>
      <c r="C20" s="6" t="n">
        <v>236917.2</v>
      </c>
      <c r="D20" s="6" t="n">
        <v>2.64860466019352</v>
      </c>
    </row>
    <row r="21">
      <c r="A21" s="5" t="n">
        <v>44287</v>
      </c>
      <c r="B21" s="6" t="n">
        <v>7128</v>
      </c>
      <c r="C21" s="6" t="n">
        <v>226461.8</v>
      </c>
      <c r="D21" s="6" t="n">
        <v>3.14755071274714</v>
      </c>
    </row>
    <row r="22">
      <c r="A22" s="5" t="n">
        <v>44317</v>
      </c>
      <c r="B22" s="6" t="n">
        <v>6433</v>
      </c>
      <c r="C22" s="6" t="n">
        <v>230414</v>
      </c>
      <c r="D22" s="6" t="n">
        <v>2.79193104585659</v>
      </c>
    </row>
    <row r="23">
      <c r="A23" s="5" t="n">
        <v>44348</v>
      </c>
      <c r="B23" s="6" t="n">
        <v>7150</v>
      </c>
      <c r="C23" s="6" t="n">
        <v>242322.1</v>
      </c>
      <c r="D23" s="6" t="n">
        <v>2.95061820609841</v>
      </c>
    </row>
    <row r="24">
      <c r="A24" s="5" t="n">
        <v>44378</v>
      </c>
      <c r="B24" s="6" t="n">
        <v>7509</v>
      </c>
      <c r="C24" s="6" t="n">
        <v>237302.4</v>
      </c>
      <c r="D24" s="6" t="n">
        <v>3.16431692220559</v>
      </c>
    </row>
    <row r="25">
      <c r="A25" s="5" t="n">
        <v>44409</v>
      </c>
      <c r="B25" s="6" t="n">
        <v>7270</v>
      </c>
      <c r="C25" s="6" t="n">
        <v>245231.5</v>
      </c>
      <c r="D25" s="6" t="n">
        <v>2.96454574555063</v>
      </c>
    </row>
    <row r="26">
      <c r="A26" s="5" t="n">
        <v>44440</v>
      </c>
      <c r="B26" s="6" t="n">
        <v>7857</v>
      </c>
      <c r="C26" s="6" t="n">
        <v>244355.8</v>
      </c>
      <c r="D26" s="6" t="n">
        <v>3.21539329125808</v>
      </c>
    </row>
    <row r="27">
      <c r="A27" s="5" t="n">
        <v>44470</v>
      </c>
      <c r="B27" s="6" t="n">
        <v>7770</v>
      </c>
      <c r="C27" s="6" t="n">
        <v>251211.9</v>
      </c>
      <c r="D27" s="6" t="n">
        <v>3.09300634245432</v>
      </c>
    </row>
    <row r="28">
      <c r="A28" s="5" t="n">
        <v>44501</v>
      </c>
      <c r="B28" s="6" t="n">
        <v>7816</v>
      </c>
      <c r="C28" s="6" t="n">
        <v>259390.2</v>
      </c>
      <c r="D28" s="6" t="n">
        <v>3.01322100834958</v>
      </c>
    </row>
    <row r="29">
      <c r="A29" s="5" t="n">
        <v>44531</v>
      </c>
      <c r="B29" s="6" t="n">
        <v>8187</v>
      </c>
      <c r="C29" s="6" t="n">
        <v>256845.2</v>
      </c>
      <c r="D29" s="6" t="n">
        <v>3.18752306836959</v>
      </c>
    </row>
    <row r="30">
      <c r="A30" s="5" t="n">
        <v>44562</v>
      </c>
      <c r="B30" s="6" t="n">
        <v>8587</v>
      </c>
      <c r="C30" s="6" t="n">
        <v>247008.6</v>
      </c>
      <c r="D30" s="6" t="n">
        <v>3.47639717807396</v>
      </c>
    </row>
    <row r="31">
      <c r="A31" s="5" t="n">
        <v>44593</v>
      </c>
      <c r="B31" s="6" t="n">
        <v>8049</v>
      </c>
      <c r="C31" s="6" t="n">
        <v>233955.4</v>
      </c>
      <c r="D31" s="6" t="n">
        <v>3.44039932397371</v>
      </c>
    </row>
    <row r="32">
      <c r="A32" s="5" t="n">
        <v>44621</v>
      </c>
      <c r="B32" s="6" t="n">
        <v>8151</v>
      </c>
      <c r="C32" s="6" t="n">
        <v>295671.9</v>
      </c>
      <c r="D32" s="6" t="n">
        <v>2.75677194890688</v>
      </c>
    </row>
    <row r="33">
      <c r="A33" s="5" t="n">
        <v>44652</v>
      </c>
      <c r="B33" s="6" t="n">
        <v>9162</v>
      </c>
      <c r="C33" s="6" t="n">
        <v>272415.1</v>
      </c>
      <c r="D33" s="6" t="n">
        <v>3.36324968770087</v>
      </c>
    </row>
    <row r="34">
      <c r="A34" s="5" t="n">
        <v>44682</v>
      </c>
      <c r="B34" s="6" t="n">
        <v>8095</v>
      </c>
      <c r="C34" s="6" t="n">
        <v>285287.2</v>
      </c>
      <c r="D34" s="6" t="n">
        <v>2.83749148226769</v>
      </c>
    </row>
    <row r="35">
      <c r="A35" s="5" t="n">
        <v>44713</v>
      </c>
      <c r="B35" s="6" t="n">
        <v>8364</v>
      </c>
      <c r="C35" s="6" t="n">
        <v>285978</v>
      </c>
      <c r="D35" s="6" t="n">
        <v>2.92470050143717</v>
      </c>
    </row>
    <row r="36">
      <c r="A36" s="5" t="n">
        <v>44743</v>
      </c>
      <c r="B36" s="6" t="n">
        <v>8530</v>
      </c>
      <c r="C36" s="6" t="n">
        <v>270391</v>
      </c>
      <c r="D36" s="6" t="n">
        <v>3.15469079961981</v>
      </c>
    </row>
    <row r="37">
      <c r="A37" s="5" t="n">
        <v>44774</v>
      </c>
      <c r="B37" s="6" t="n">
        <v>8456</v>
      </c>
      <c r="C37" s="6" t="n">
        <v>283273</v>
      </c>
      <c r="D37" s="6" t="n">
        <v>2.98510624026999</v>
      </c>
    </row>
    <row r="38">
      <c r="A38" s="5" t="n">
        <v>44805</v>
      </c>
      <c r="B38" s="6" t="n">
        <v>8741</v>
      </c>
      <c r="C38" s="6" t="n">
        <v>275053.1</v>
      </c>
      <c r="D38" s="6" t="n">
        <v>3.17793182480038</v>
      </c>
    </row>
    <row r="39">
      <c r="A39" s="5" t="n">
        <v>44835</v>
      </c>
      <c r="B39" s="6" t="n">
        <v>8163</v>
      </c>
      <c r="C39" s="6" t="n">
        <v>281439.4</v>
      </c>
      <c r="D39" s="6" t="n">
        <v>2.90044677468755</v>
      </c>
    </row>
    <row r="40">
      <c r="A40" s="5" t="n">
        <v>44866</v>
      </c>
      <c r="B40" s="6" t="n">
        <v>7171</v>
      </c>
      <c r="C40" s="6" t="n">
        <v>255572</v>
      </c>
      <c r="D40" s="6" t="n">
        <v>2.80586292708121</v>
      </c>
    </row>
    <row r="41">
      <c r="A41" s="5" t="n">
        <v>44896</v>
      </c>
      <c r="B41" s="6" t="n">
        <v>6552</v>
      </c>
      <c r="C41" s="6" t="n">
        <v>253688.4</v>
      </c>
      <c r="D41" s="6" t="n">
        <v>2.58269593722062</v>
      </c>
    </row>
    <row r="42">
      <c r="A42" s="5" t="n">
        <v>44927</v>
      </c>
      <c r="B42" s="6" t="n">
        <v>6838</v>
      </c>
      <c r="C42" s="6" t="n">
        <v>254625.8</v>
      </c>
      <c r="D42" s="6" t="n">
        <v>2.68550948097168</v>
      </c>
    </row>
    <row r="43">
      <c r="A43" s="5" t="n">
        <v>44958</v>
      </c>
      <c r="B43" s="6" t="n">
        <v>6349</v>
      </c>
      <c r="C43" s="6" t="n">
        <v>230169.8</v>
      </c>
      <c r="D43" s="6" t="n">
        <v>2.75839836503312</v>
      </c>
    </row>
    <row r="44">
      <c r="A44" s="5" t="n">
        <v>44986</v>
      </c>
      <c r="B44" s="6" t="n">
        <v>6152</v>
      </c>
      <c r="C44" s="6" t="n">
        <v>261243.9</v>
      </c>
      <c r="D44" s="6" t="n">
        <v>2.35488752081867</v>
      </c>
    </row>
    <row r="45">
      <c r="A45" s="5" t="n">
        <v>45017</v>
      </c>
      <c r="B45" s="6" t="n">
        <v>6350</v>
      </c>
      <c r="C45" s="6" t="n">
        <v>249869.2</v>
      </c>
      <c r="D45" s="6" t="n">
        <v>2.5413296236591</v>
      </c>
    </row>
    <row r="46">
      <c r="A46" s="5" t="n">
        <v>45047</v>
      </c>
      <c r="B46" s="6" t="n">
        <v>6373</v>
      </c>
      <c r="C46" s="6" t="n">
        <v>263244.8</v>
      </c>
      <c r="D46" s="6" t="n">
        <v>2.42094050860644</v>
      </c>
    </row>
    <row r="47">
      <c r="A47" s="5" t="n">
        <v>45078</v>
      </c>
      <c r="B47" s="6" t="n">
        <v>6475</v>
      </c>
      <c r="C47" s="6" t="n">
        <v>257210.7</v>
      </c>
      <c r="D47" s="6" t="n">
        <v>2.51739138379546</v>
      </c>
    </row>
    <row r="48">
      <c r="A48" s="5" t="n">
        <v>45108</v>
      </c>
      <c r="B48" s="6" t="n">
        <v>6910</v>
      </c>
      <c r="C48" s="6" t="n">
        <v>255333</v>
      </c>
      <c r="D48" s="6" t="n">
        <v>2.70626985152722</v>
      </c>
    </row>
    <row r="49">
      <c r="A49" s="5" t="n">
        <v>45139</v>
      </c>
      <c r="B49" s="6" t="n">
        <v>6325</v>
      </c>
      <c r="C49" s="6" t="n">
        <v>265555.5</v>
      </c>
      <c r="D49" s="6" t="n">
        <v>2.38179966146436</v>
      </c>
    </row>
    <row r="50">
      <c r="A50" s="5" t="n">
        <v>45170</v>
      </c>
      <c r="B50" s="6" t="n">
        <v>6678</v>
      </c>
      <c r="C50" s="6" t="n">
        <v>260862.5</v>
      </c>
      <c r="D50" s="6" t="n">
        <v>2.55996933250276</v>
      </c>
    </row>
    <row r="51">
      <c r="A51" s="5" t="n">
        <v>45200</v>
      </c>
      <c r="B51" s="6" t="n">
        <v>6903</v>
      </c>
      <c r="C51" s="6" t="n">
        <v>276178.5</v>
      </c>
      <c r="D51" s="6" t="n">
        <v>2.4994704511756</v>
      </c>
    </row>
    <row r="52">
      <c r="A52" s="5" t="n">
        <v>45231</v>
      </c>
      <c r="B52" s="6" t="n">
        <v>6296</v>
      </c>
      <c r="C52" s="6" t="n">
        <v>255461.3</v>
      </c>
      <c r="D52" s="6" t="n">
        <v>2.46456116836484</v>
      </c>
    </row>
    <row r="53">
      <c r="A53" s="5" t="n">
        <v>45261</v>
      </c>
      <c r="B53" s="6" t="n">
        <v>5744</v>
      </c>
      <c r="C53" s="6" t="n">
        <v>247041.3</v>
      </c>
      <c r="D53" s="6" t="n">
        <v>2.32511729820075</v>
      </c>
    </row>
    <row r="54">
      <c r="A54" s="5" t="n">
        <v>45292</v>
      </c>
      <c r="B54" s="6" t="n">
        <v>6477</v>
      </c>
      <c r="C54" s="6" t="n">
        <v>253692.7</v>
      </c>
      <c r="D54" s="6" t="n">
        <v>2.55308883542964</v>
      </c>
    </row>
    <row r="55">
      <c r="A55" s="5" t="n">
        <v>45323</v>
      </c>
      <c r="B55" s="6" t="n">
        <v>6208</v>
      </c>
      <c r="C55" s="6" t="n">
        <v>242229</v>
      </c>
      <c r="D55" s="6" t="n">
        <v>2.56286406664768</v>
      </c>
    </row>
    <row r="56">
      <c r="A56" s="5" t="n">
        <v>45352</v>
      </c>
      <c r="B56" s="6" t="n">
        <v>6064</v>
      </c>
      <c r="C56" s="6" t="n">
        <v>259086.6</v>
      </c>
      <c r="D56" s="6" t="n">
        <v>2.34053015478222</v>
      </c>
    </row>
    <row r="57">
      <c r="A57" s="5" t="n">
        <v>45383</v>
      </c>
      <c r="B57" s="6" t="n">
        <v>6367</v>
      </c>
      <c r="C57" s="6" t="n">
        <v>270974.2</v>
      </c>
      <c r="D57" s="6" t="n">
        <v>2.34967019000333</v>
      </c>
    </row>
    <row r="58">
      <c r="A58" s="5" t="n">
        <v>45413</v>
      </c>
      <c r="B58" s="6" t="n">
        <v>5225</v>
      </c>
      <c r="C58" s="6" t="n">
        <v>274906.2</v>
      </c>
      <c r="D58" s="6" t="n">
        <v>1.90064829385441</v>
      </c>
    </row>
    <row r="59">
      <c r="A59" s="5" t="n">
        <v>45444</v>
      </c>
      <c r="B59" s="6" t="n">
        <v>6323</v>
      </c>
      <c r="C59" s="6" t="n">
        <v>266056.6</v>
      </c>
      <c r="D59" s="6" t="n">
        <v>2.37656197966899</v>
      </c>
    </row>
    <row r="60">
      <c r="A60" s="5" t="n">
        <v>45474</v>
      </c>
      <c r="B60" s="6" t="n">
        <v>7133</v>
      </c>
      <c r="C60" s="6" t="n">
        <v>288127.3</v>
      </c>
      <c r="D60" s="6" t="n">
        <v>2.47564184303258</v>
      </c>
    </row>
    <row r="61">
      <c r="A61" s="5" t="n">
        <v>45505</v>
      </c>
      <c r="B61" s="6" t="n">
        <v>7047</v>
      </c>
      <c r="C61" s="6" t="n">
        <v>277306.3</v>
      </c>
      <c r="D61" s="6" t="n">
        <v>2.54123328608113</v>
      </c>
    </row>
    <row r="62">
      <c r="A62" s="5" t="n">
        <v>45536</v>
      </c>
      <c r="B62" s="6" t="n">
        <v>7249</v>
      </c>
      <c r="C62" s="6" t="n">
        <v>285963.2</v>
      </c>
      <c r="D62" s="6" t="n">
        <v>2.53494155891387</v>
      </c>
    </row>
    <row r="63">
      <c r="A63" s="5" t="n">
        <v>45566</v>
      </c>
      <c r="B63" s="6" t="n">
        <v>7297</v>
      </c>
      <c r="C63" s="6" t="n">
        <v>288844</v>
      </c>
      <c r="D63" s="6" t="n">
        <v>2.52627715998948</v>
      </c>
    </row>
    <row r="64">
      <c r="A64" s="5" t="n">
        <v>45597</v>
      </c>
      <c r="B64" s="6" t="n">
        <v>6712</v>
      </c>
      <c r="C64" s="6" t="n">
        <v>274312.3</v>
      </c>
      <c r="D64" s="6" t="n">
        <v>2.44684616767094</v>
      </c>
    </row>
    <row r="65">
      <c r="A65" s="5" t="n">
        <v>45627</v>
      </c>
      <c r="B65" s="6" t="n">
        <v>6814</v>
      </c>
      <c r="C65" s="6" t="n">
        <v>284911.2</v>
      </c>
      <c r="D65" s="6" t="n">
        <v>2.39162237216368</v>
      </c>
    </row>
    <row r="66">
      <c r="A66" s="5" t="n">
        <v>45658</v>
      </c>
      <c r="B66" s="6" t="n">
        <v>7341</v>
      </c>
      <c r="C66" s="6" t="n">
        <v>317226.6</v>
      </c>
      <c r="D66" s="6" t="n">
        <v>2.31411867731142</v>
      </c>
    </row>
    <row r="67">
      <c r="A67" s="5" t="n">
        <v>45689</v>
      </c>
      <c r="B67" s="6" t="n">
        <v>7247</v>
      </c>
      <c r="C67" s="6" t="n">
        <v>288193.9</v>
      </c>
      <c r="D67" s="6" t="n">
        <v>2.51462643727019</v>
      </c>
    </row>
    <row r="68">
      <c r="A68" s="5" t="n">
        <v>45717</v>
      </c>
      <c r="B68" s="6" t="n">
        <v>8168</v>
      </c>
      <c r="C68" s="6" t="n">
        <v>342726.7</v>
      </c>
      <c r="D68" s="6" t="n">
        <v>2.3832400568733</v>
      </c>
    </row>
    <row r="69">
      <c r="A69" s="5" t="n">
        <v>45748</v>
      </c>
      <c r="B69" s="6" t="n">
        <v>15634</v>
      </c>
      <c r="C69" s="6" t="n">
        <v>276133.4</v>
      </c>
      <c r="D69" s="6" t="n">
        <v>5.6617562381081</v>
      </c>
    </row>
    <row r="70">
      <c r="A70" s="5" t="n">
        <v>45778</v>
      </c>
      <c r="B70" s="6" t="n">
        <v>22173</v>
      </c>
      <c r="C70" s="6" t="n">
        <v>276402.9</v>
      </c>
      <c r="D70" s="6" t="n">
        <v>8.02198529754934</v>
      </c>
    </row>
    <row r="71">
      <c r="A71" s="5" t="n">
        <v>45809</v>
      </c>
      <c r="B71" s="6" t="n">
        <v>26632</v>
      </c>
      <c r="C71" s="6" t="n">
        <v>265517.9</v>
      </c>
      <c r="D71" s="6" t="n">
        <v>10.0302088861052</v>
      </c>
    </row>
    <row r="72">
      <c r="A72" s="5" t="n">
        <v>45839</v>
      </c>
      <c r="B72" s="6" t="n">
        <v>27670</v>
      </c>
      <c r="C72" s="6" t="n">
        <v>292215</v>
      </c>
      <c r="D72" s="6" t="n">
        <v>9.46905531885769</v>
      </c>
    </row>
    <row r="73">
      <c r="A73" s="5" t="n">
        <v>45870</v>
      </c>
      <c r="B73" s="6" t="n">
        <v>29503</v>
      </c>
      <c r="C73" s="6" t="n">
        <v>262848.9</v>
      </c>
      <c r="D73" s="6" t="n">
        <v>11.2243193713194</v>
      </c>
    </row>
    <row r="74">
      <c r="A74" s="5" t="n">
        <v>45901</v>
      </c>
      <c r="B74" s="6" t="n">
        <v>29675</v>
      </c>
      <c r="C74" s="6" t="n">
        <v>276477.6</v>
      </c>
      <c r="D74" s="6" t="n">
        <v>10.7332384251021</v>
      </c>
    </row>
    <row r="75">
      <c r="A75" s="5" t="n">
        <v>45931</v>
      </c>
      <c r="B75" s="6" t="n">
        <v>31354</v>
      </c>
      <c r="C75" s="6" t="n">
        <v>274928.6</v>
      </c>
      <c r="D75" s="6" t="n">
        <v>11.4044155464364</v>
      </c>
    </row>
    <row r="76">
      <c r="A76" s="5" t="n">
        <v>45962</v>
      </c>
      <c r="B76" s="6" t="n">
        <v>30756</v>
      </c>
      <c r="C76" s="6" t="n">
        <v>260826.2</v>
      </c>
      <c r="D76" s="6" t="n">
        <v>11.7917601836012</v>
      </c>
    </row>
    <row r="77">
      <c r="A77" s="5" t="n">
        <v>45992</v>
      </c>
      <c r="B77" s="6" t="n">
        <v>27892</v>
      </c>
      <c r="C77" s="6" t="n">
        <v>282234.9</v>
      </c>
      <c r="D77" s="6" t="n">
        <v>9.88254818946913</v>
      </c>
    </row>
    <row r="78">
      <c r="A78" s="8" t="n">
        <v>46023</v>
      </c>
      <c r="B78" s="9" t="n">
        <v>27742</v>
      </c>
      <c r="C78" s="9"/>
      <c r="D78" s="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38.71" hidden="0" customWidth="1"/>
    <col min="3" max="3" width="27.71" hidden="0" customWidth="1"/>
    <col min="4" max="4" width="29.71" hidden="0" customWidth="1"/>
    <col min="5" max="5" width="29.71" hidden="0" customWidth="1"/>
    <col min="6" max="6" width="41.71" hidden="0" customWidth="1"/>
    <col min="7" max="7" width="30.71" hidden="0" customWidth="1"/>
    <col min="8" max="8" width="32.71" hidden="0" customWidth="1"/>
    <col min="9" max="9" width="32.71" hidden="0" customWidth="1"/>
    <col min="10" max="10" width="18.71" hidden="0" customWidth="1"/>
  </cols>
  <sheetData>
    <row r="1">
      <c r="A1" s="1" t="s">
        <v>13</v>
      </c>
    </row>
    <row r="2">
      <c r="A2" s="2" t="s">
        <v>14</v>
      </c>
    </row>
    <row r="3">
      <c r="A3" s="2" t="s">
        <v>15</v>
      </c>
    </row>
    <row r="5">
      <c r="A5" s="4" t="s">
        <v>4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22</v>
      </c>
      <c r="I5" s="4" t="s">
        <v>23</v>
      </c>
      <c r="J5" s="4" t="s">
        <v>24</v>
      </c>
    </row>
    <row r="6">
      <c r="A6" s="5" t="n">
        <v>44927</v>
      </c>
      <c r="B6" s="6" t="n">
        <v>100.693736917178</v>
      </c>
      <c r="C6" s="6" t="n">
        <v>101.985846863578</v>
      </c>
      <c r="D6" s="6" t="n">
        <v>100.926653532539</v>
      </c>
      <c r="E6" s="6" t="n">
        <v>103.056156093869</v>
      </c>
      <c r="F6" s="6" t="n">
        <v>103.849235112349</v>
      </c>
      <c r="G6" s="6" t="n">
        <v>101.639737689728</v>
      </c>
      <c r="H6" s="6" t="n">
        <v>99.5782917644976</v>
      </c>
      <c r="I6" s="6" t="n">
        <v>103.743859174334</v>
      </c>
      <c r="J6" s="10" t="b">
        <v>0</v>
      </c>
    </row>
    <row r="7">
      <c r="A7" s="5" t="n">
        <v>44958</v>
      </c>
      <c r="B7" s="6" t="n">
        <v>100.881759072301</v>
      </c>
      <c r="C7" s="6" t="n">
        <v>101.896914496718</v>
      </c>
      <c r="D7" s="6" t="n">
        <v>100.863648039463</v>
      </c>
      <c r="E7" s="6" t="n">
        <v>102.94076593273</v>
      </c>
      <c r="F7" s="6" t="n">
        <v>103.881661770877</v>
      </c>
      <c r="G7" s="6" t="n">
        <v>101.550627214393</v>
      </c>
      <c r="H7" s="6" t="n">
        <v>99.5394119763871</v>
      </c>
      <c r="I7" s="6" t="n">
        <v>103.602479489059</v>
      </c>
      <c r="J7" s="10" t="b">
        <v>0</v>
      </c>
    </row>
    <row r="8">
      <c r="A8" s="5" t="n">
        <v>44986</v>
      </c>
      <c r="B8" s="6" t="n">
        <v>101.090158012708</v>
      </c>
      <c r="C8" s="6" t="n">
        <v>101.816655145389</v>
      </c>
      <c r="D8" s="6" t="n">
        <v>100.807191901771</v>
      </c>
      <c r="E8" s="6" t="n">
        <v>102.836226953891</v>
      </c>
      <c r="F8" s="6" t="n">
        <v>103.75863121352</v>
      </c>
      <c r="G8" s="6" t="n">
        <v>101.470207486061</v>
      </c>
      <c r="H8" s="6" t="n">
        <v>99.5051180676292</v>
      </c>
      <c r="I8" s="6" t="n">
        <v>103.474104721591</v>
      </c>
      <c r="J8" s="10" t="b">
        <v>0</v>
      </c>
    </row>
    <row r="9">
      <c r="A9" s="5" t="n">
        <v>45017</v>
      </c>
      <c r="B9" s="6" t="n">
        <v>101.164255413741</v>
      </c>
      <c r="C9" s="6" t="n">
        <v>101.727870314883</v>
      </c>
      <c r="D9" s="6" t="n">
        <v>100.745221471194</v>
      </c>
      <c r="E9" s="6" t="n">
        <v>102.720103719862</v>
      </c>
      <c r="F9" s="6" t="n">
        <v>103.796780223553</v>
      </c>
      <c r="G9" s="6" t="n">
        <v>101.381245642721</v>
      </c>
      <c r="H9" s="6" t="n">
        <v>99.4681280730948</v>
      </c>
      <c r="I9" s="6" t="n">
        <v>103.331159107737</v>
      </c>
      <c r="J9" s="10" t="b">
        <v>0</v>
      </c>
    </row>
    <row r="10">
      <c r="A10" s="5" t="n">
        <v>45047</v>
      </c>
      <c r="B10" s="6" t="n">
        <v>101.470833410518</v>
      </c>
      <c r="C10" s="6" t="n">
        <v>101.642023226952</v>
      </c>
      <c r="D10" s="6" t="n">
        <v>100.685822989201</v>
      </c>
      <c r="E10" s="6" t="n">
        <v>102.607304374681</v>
      </c>
      <c r="F10" s="6" t="n">
        <v>103.950329988937</v>
      </c>
      <c r="G10" s="6" t="n">
        <v>101.295227798974</v>
      </c>
      <c r="H10" s="6" t="n">
        <v>99.4333845264223</v>
      </c>
      <c r="I10" s="6" t="n">
        <v>103.19193320951</v>
      </c>
      <c r="J10" s="10" t="b">
        <v>0</v>
      </c>
    </row>
    <row r="11">
      <c r="A11" s="5" t="n">
        <v>45078</v>
      </c>
      <c r="B11" s="6" t="n">
        <v>101.292073430524</v>
      </c>
      <c r="C11" s="6" t="n">
        <v>101.553390676691</v>
      </c>
      <c r="D11" s="6" t="n">
        <v>100.62508262659</v>
      </c>
      <c r="E11" s="6" t="n">
        <v>102.490262752912</v>
      </c>
      <c r="F11" s="6" t="n">
        <v>103.561210086598</v>
      </c>
      <c r="G11" s="6" t="n">
        <v>101.206419365348</v>
      </c>
      <c r="H11" s="6" t="n">
        <v>99.3986613407956</v>
      </c>
      <c r="I11" s="6" t="n">
        <v>103.047054986352</v>
      </c>
      <c r="J11" s="10" t="b">
        <v>0</v>
      </c>
    </row>
    <row r="12">
      <c r="A12" s="5" t="n">
        <v>45108</v>
      </c>
      <c r="B12" s="6" t="n">
        <v>100.842857936758</v>
      </c>
      <c r="C12" s="6" t="n">
        <v>101.467690830306</v>
      </c>
      <c r="D12" s="6" t="n">
        <v>100.566969553064</v>
      </c>
      <c r="E12" s="6" t="n">
        <v>102.376479356893</v>
      </c>
      <c r="F12" s="6" t="n">
        <v>102.872620455499</v>
      </c>
      <c r="G12" s="6" t="n">
        <v>101.120549854553</v>
      </c>
      <c r="H12" s="6" t="n">
        <v>99.3662974095682</v>
      </c>
      <c r="I12" s="6" t="n">
        <v>102.905772575386</v>
      </c>
      <c r="J12" s="10" t="b">
        <v>0</v>
      </c>
    </row>
    <row r="13">
      <c r="A13" s="5" t="n">
        <v>45139</v>
      </c>
      <c r="B13" s="6" t="n">
        <v>100.77061297075</v>
      </c>
      <c r="C13" s="6" t="n">
        <v>101.379210299106</v>
      </c>
      <c r="D13" s="6" t="n">
        <v>100.507670277</v>
      </c>
      <c r="E13" s="6" t="n">
        <v>102.258307774371</v>
      </c>
      <c r="F13" s="6" t="n">
        <v>102.497806431923</v>
      </c>
      <c r="G13" s="6" t="n">
        <v>101.031894566095</v>
      </c>
      <c r="H13" s="6" t="n">
        <v>99.3342539251652</v>
      </c>
      <c r="I13" s="6" t="n">
        <v>102.758548197327</v>
      </c>
      <c r="J13" s="10" t="b">
        <v>0</v>
      </c>
    </row>
    <row r="14">
      <c r="A14" s="5" t="n">
        <v>45170</v>
      </c>
      <c r="B14" s="6" t="n">
        <v>100.673360131893</v>
      </c>
      <c r="C14" s="6" t="n">
        <v>101.290806923545</v>
      </c>
      <c r="D14" s="6" t="n">
        <v>100.449205992522</v>
      </c>
      <c r="E14" s="6" t="n">
        <v>102.139459101216</v>
      </c>
      <c r="F14" s="6" t="n">
        <v>102.374775874566</v>
      </c>
      <c r="G14" s="6" t="n">
        <v>100.943317004273</v>
      </c>
      <c r="H14" s="6" t="n">
        <v>99.3037730589976</v>
      </c>
      <c r="I14" s="6" t="n">
        <v>102.609930458246</v>
      </c>
      <c r="J14" s="10" t="b">
        <v>0</v>
      </c>
    </row>
    <row r="15">
      <c r="A15" s="5" t="n">
        <v>45200</v>
      </c>
      <c r="B15" s="6" t="n">
        <v>100.833595761629</v>
      </c>
      <c r="C15" s="6" t="n">
        <v>101.205328668848</v>
      </c>
      <c r="D15" s="6" t="n">
        <v>100.39350282151</v>
      </c>
      <c r="E15" s="6" t="n">
        <v>102.023719295657</v>
      </c>
      <c r="F15" s="6" t="n">
        <v>102.245069240453</v>
      </c>
      <c r="G15" s="6" t="n">
        <v>100.857670725079</v>
      </c>
      <c r="H15" s="6" t="n">
        <v>99.2759200569641</v>
      </c>
      <c r="I15" s="6" t="n">
        <v>102.464623226374</v>
      </c>
      <c r="J15" s="10" t="b">
        <v>0</v>
      </c>
    </row>
    <row r="16">
      <c r="A16" s="5" t="n">
        <v>45231</v>
      </c>
      <c r="B16" s="6" t="n">
        <v>100.462182538947</v>
      </c>
      <c r="C16" s="6" t="n">
        <v>101.117076919275</v>
      </c>
      <c r="D16" s="6" t="n">
        <v>100.336945501883</v>
      </c>
      <c r="E16" s="6" t="n">
        <v>101.903273949144</v>
      </c>
      <c r="F16" s="6" t="n">
        <v>101.723381528249</v>
      </c>
      <c r="G16" s="6" t="n">
        <v>100.769245910299</v>
      </c>
      <c r="H16" s="6" t="n">
        <v>99.2490303141757</v>
      </c>
      <c r="I16" s="6" t="n">
        <v>102.312746927462</v>
      </c>
      <c r="J16" s="10" t="b">
        <v>0</v>
      </c>
    </row>
    <row r="17">
      <c r="A17" s="5" t="n">
        <v>45261</v>
      </c>
      <c r="B17" s="6" t="n">
        <v>100.203767852843</v>
      </c>
      <c r="C17" s="6" t="n">
        <v>101.031745273516</v>
      </c>
      <c r="D17" s="6" t="n">
        <v>100.283295738275</v>
      </c>
      <c r="E17" s="6" t="n">
        <v>101.785780751088</v>
      </c>
      <c r="F17" s="6" t="n">
        <v>101.281806737115</v>
      </c>
      <c r="G17" s="6" t="n">
        <v>100.683747323314</v>
      </c>
      <c r="H17" s="6" t="n">
        <v>99.2250593927815</v>
      </c>
      <c r="I17" s="6" t="n">
        <v>102.163879135984</v>
      </c>
      <c r="J17" s="10" t="b">
        <v>0</v>
      </c>
    </row>
    <row r="18">
      <c r="A18" s="5" t="n">
        <v>45292</v>
      </c>
      <c r="B18" s="6" t="n">
        <v>100.166719152326</v>
      </c>
      <c r="C18" s="6" t="n">
        <v>100.94364488987</v>
      </c>
      <c r="D18" s="6" t="n">
        <v>100.229120296865</v>
      </c>
      <c r="E18" s="6" t="n">
        <v>101.663263265924</v>
      </c>
      <c r="F18" s="6" t="n">
        <v>101.477320413535</v>
      </c>
      <c r="G18" s="6" t="n">
        <v>100.595474992173</v>
      </c>
      <c r="H18" s="6" t="n">
        <v>99.2026897631228</v>
      </c>
      <c r="I18" s="6" t="n">
        <v>102.007814637528</v>
      </c>
      <c r="J18" s="10" t="b">
        <v>0</v>
      </c>
    </row>
    <row r="19">
      <c r="A19" s="5" t="n">
        <v>45323</v>
      </c>
      <c r="B19" s="6" t="n">
        <v>100.481633106719</v>
      </c>
      <c r="C19" s="6" t="n">
        <v>100.85562133037</v>
      </c>
      <c r="D19" s="6" t="n">
        <v>100.176408783335</v>
      </c>
      <c r="E19" s="6" t="n">
        <v>101.539439050317</v>
      </c>
      <c r="F19" s="6" t="n">
        <v>101.730057605005</v>
      </c>
      <c r="G19" s="6" t="n">
        <v>100.507280051917</v>
      </c>
      <c r="H19" s="6" t="n">
        <v>99.1831130204164</v>
      </c>
      <c r="I19" s="6" t="n">
        <v>101.849125680852</v>
      </c>
      <c r="J19" s="10" t="b">
        <v>0</v>
      </c>
    </row>
    <row r="20">
      <c r="A20" s="5" t="n">
        <v>45352</v>
      </c>
      <c r="B20" s="6" t="n">
        <v>100.585369468166</v>
      </c>
      <c r="C20" s="6" t="n">
        <v>100.773346200285</v>
      </c>
      <c r="D20" s="6" t="n">
        <v>100.128626764769</v>
      </c>
      <c r="E20" s="6" t="n">
        <v>101.422216927633</v>
      </c>
      <c r="F20" s="6" t="n">
        <v>101.819707778583</v>
      </c>
      <c r="G20" s="6" t="n">
        <v>100.424845110211</v>
      </c>
      <c r="H20" s="6" t="n">
        <v>99.1677256449563</v>
      </c>
      <c r="I20" s="6" t="n">
        <v>101.697900701252</v>
      </c>
      <c r="J20" s="10" t="b">
        <v>0</v>
      </c>
    </row>
    <row r="21">
      <c r="A21" s="5" t="n">
        <v>45383</v>
      </c>
      <c r="B21" s="6" t="n">
        <v>100.640942518941</v>
      </c>
      <c r="C21" s="6" t="n">
        <v>100.685471142426</v>
      </c>
      <c r="D21" s="6" t="n">
        <v>100.079464231196</v>
      </c>
      <c r="E21" s="6" t="n">
        <v>101.295147581457</v>
      </c>
      <c r="F21" s="6" t="n">
        <v>101.599397245641</v>
      </c>
      <c r="G21" s="6" t="n">
        <v>100.33679976607</v>
      </c>
      <c r="H21" s="6" t="n">
        <v>99.1549540893449</v>
      </c>
      <c r="I21" s="6" t="n">
        <v>101.532732073327</v>
      </c>
      <c r="J21" s="10" t="b">
        <v>0</v>
      </c>
    </row>
    <row r="22">
      <c r="A22" s="5" t="n">
        <v>45413</v>
      </c>
      <c r="B22" s="6" t="n">
        <v>100.43439601356</v>
      </c>
      <c r="C22" s="6" t="n">
        <v>100.600503724276</v>
      </c>
      <c r="D22" s="6" t="n">
        <v>100.034133207671</v>
      </c>
      <c r="E22" s="6" t="n">
        <v>101.170080901965</v>
      </c>
      <c r="F22" s="6" t="n">
        <v>100.716247663373</v>
      </c>
      <c r="G22" s="6" t="n">
        <v>100.251668091966</v>
      </c>
      <c r="H22" s="6" t="n">
        <v>99.1469196814856</v>
      </c>
      <c r="I22" s="6" t="n">
        <v>101.368726204597</v>
      </c>
      <c r="J22" s="10" t="b">
        <v>0</v>
      </c>
    </row>
    <row r="23">
      <c r="A23" s="5" t="n">
        <v>45444</v>
      </c>
      <c r="B23" s="6" t="n">
        <v>100.486264194283</v>
      </c>
      <c r="C23" s="6" t="n">
        <v>100.512779386256</v>
      </c>
      <c r="D23" s="6" t="n">
        <v>99.9901364366999</v>
      </c>
      <c r="E23" s="6" t="n">
        <v>101.038154161795</v>
      </c>
      <c r="F23" s="6" t="n">
        <v>100.663792774577</v>
      </c>
      <c r="G23" s="6" t="n">
        <v>100.163774577088</v>
      </c>
      <c r="H23" s="6" t="n">
        <v>99.1441132333214</v>
      </c>
      <c r="I23" s="6" t="n">
        <v>101.19392276896</v>
      </c>
      <c r="J23" s="10" t="b">
        <v>0</v>
      </c>
    </row>
    <row r="24">
      <c r="A24" s="5" t="n">
        <v>45474</v>
      </c>
      <c r="B24" s="6" t="n">
        <v>100.425133838431</v>
      </c>
      <c r="C24" s="6" t="n">
        <v>100.427957700877</v>
      </c>
      <c r="D24" s="6" t="n">
        <v>99.9510368242952</v>
      </c>
      <c r="E24" s="6" t="n">
        <v>100.907154226914</v>
      </c>
      <c r="F24" s="6" t="n">
        <v>100.440621065883</v>
      </c>
      <c r="G24" s="6" t="n">
        <v>100.078789707786</v>
      </c>
      <c r="H24" s="6" t="n">
        <v>99.1481326012631</v>
      </c>
      <c r="I24" s="6" t="n">
        <v>101.018182456899</v>
      </c>
      <c r="J24" s="10" t="b">
        <v>0</v>
      </c>
    </row>
    <row r="25">
      <c r="A25" s="5" t="n">
        <v>45505</v>
      </c>
      <c r="B25" s="6" t="n">
        <v>100.295463386622</v>
      </c>
      <c r="C25" s="6" t="n">
        <v>100.340383824188</v>
      </c>
      <c r="D25" s="6" t="n">
        <v>99.91539178042</v>
      </c>
      <c r="E25" s="6" t="n">
        <v>100.767183579802</v>
      </c>
      <c r="F25" s="6" t="n">
        <v>100.297562278259</v>
      </c>
      <c r="G25" s="6" t="n">
        <v>99.9910477603493</v>
      </c>
      <c r="H25" s="6" t="n">
        <v>99.161522385105</v>
      </c>
      <c r="I25" s="6" t="n">
        <v>100.82751244362</v>
      </c>
      <c r="J25" s="10" t="b">
        <v>0</v>
      </c>
    </row>
    <row r="26">
      <c r="A26" s="5" t="n">
        <v>45536</v>
      </c>
      <c r="B26" s="6" t="n">
        <v>100.337143174703</v>
      </c>
      <c r="C26" s="6" t="n">
        <v>100.252886312528</v>
      </c>
      <c r="D26" s="6" t="n">
        <v>99.8865880626987</v>
      </c>
      <c r="E26" s="6" t="n">
        <v>100.620527829862</v>
      </c>
      <c r="F26" s="6" t="n">
        <v>100.508335558692</v>
      </c>
      <c r="G26" s="6" t="n">
        <v>99.9033827387965</v>
      </c>
      <c r="H26" s="6" t="n">
        <v>99.1882222313683</v>
      </c>
      <c r="I26" s="6" t="n">
        <v>100.62369965028</v>
      </c>
      <c r="J26" s="10" t="b">
        <v>0</v>
      </c>
    </row>
    <row r="27">
      <c r="A27" s="5" t="n">
        <v>45566</v>
      </c>
      <c r="B27" s="6" t="n">
        <v>100.397347313043</v>
      </c>
      <c r="C27" s="6" t="n">
        <v>100.168283948201</v>
      </c>
      <c r="D27" s="6" t="n">
        <v>99.8689600275271</v>
      </c>
      <c r="E27" s="6" t="n">
        <v>100.468504992561</v>
      </c>
      <c r="F27" s="6" t="n">
        <v>100.548392019227</v>
      </c>
      <c r="G27" s="6" t="n">
        <v>99.8186188013274</v>
      </c>
      <c r="H27" s="6" t="n">
        <v>99.2340340553855</v>
      </c>
      <c r="I27" s="6" t="n">
        <v>100.406647318637</v>
      </c>
      <c r="J27" s="10" t="b">
        <v>0</v>
      </c>
    </row>
    <row r="28">
      <c r="A28" s="5" t="n">
        <v>45597</v>
      </c>
      <c r="B28" s="6" t="n">
        <v>100.27601281885</v>
      </c>
      <c r="C28" s="6" t="n">
        <v>100.080936508829</v>
      </c>
      <c r="D28" s="6" t="n">
        <v>99.8714217171792</v>
      </c>
      <c r="E28" s="6" t="n">
        <v>100.290890830097</v>
      </c>
      <c r="F28" s="6" t="n">
        <v>100.488307328425</v>
      </c>
      <c r="G28" s="6" t="n">
        <v>99.7311049531922</v>
      </c>
      <c r="H28" s="6" t="n">
        <v>99.3217444151984</v>
      </c>
      <c r="I28" s="6" t="n">
        <v>100.142152695242</v>
      </c>
      <c r="J28" s="10" t="b">
        <v>0</v>
      </c>
    </row>
    <row r="29">
      <c r="A29" s="5" t="n">
        <v>45627</v>
      </c>
      <c r="B29" s="6" t="n">
        <v>100</v>
      </c>
      <c r="C29" s="6" t="n">
        <v>100</v>
      </c>
      <c r="D29" s="6" t="n">
        <v>100</v>
      </c>
      <c r="E29" s="6" t="n">
        <v>100</v>
      </c>
      <c r="F29" s="6" t="n">
        <v>100</v>
      </c>
      <c r="G29" s="6" t="n">
        <v>100</v>
      </c>
      <c r="H29" s="6" t="n">
        <v>100</v>
      </c>
      <c r="I29" s="6" t="n">
        <v>100</v>
      </c>
      <c r="J29" s="10" t="b">
        <v>0</v>
      </c>
    </row>
    <row r="30">
      <c r="A30" s="5" t="n">
        <v>45658</v>
      </c>
      <c r="B30" s="6" t="n">
        <v>100.399199748069</v>
      </c>
      <c r="C30" s="6" t="n">
        <v>99.8945465432201</v>
      </c>
      <c r="D30" s="6" t="n">
        <v>99.8441388920621</v>
      </c>
      <c r="E30" s="6" t="n">
        <v>99.9449796433561</v>
      </c>
      <c r="F30" s="6" t="n">
        <v>100.308053256018</v>
      </c>
      <c r="G30" s="6" t="n">
        <v>99.7193810702378</v>
      </c>
      <c r="H30" s="6" t="n">
        <v>99.6231008921826</v>
      </c>
      <c r="I30" s="6" t="n">
        <v>99.8157542977223</v>
      </c>
      <c r="J30" s="10" t="b">
        <v>1</v>
      </c>
    </row>
    <row r="31">
      <c r="A31" s="5" t="n">
        <v>45689</v>
      </c>
      <c r="B31" s="6" t="n">
        <v>100.813218976344</v>
      </c>
      <c r="C31" s="6" t="n">
        <v>99.8193083672988</v>
      </c>
      <c r="D31" s="6" t="n">
        <v>99.7091371919727</v>
      </c>
      <c r="E31" s="6" t="n">
        <v>99.9296012735736</v>
      </c>
      <c r="F31" s="6" t="n">
        <v>100.715293938122</v>
      </c>
      <c r="G31" s="6" t="n">
        <v>99.4667956612234</v>
      </c>
      <c r="H31" s="6" t="n">
        <v>99.2563067672234</v>
      </c>
      <c r="I31" s="6" t="n">
        <v>99.6777309306322</v>
      </c>
      <c r="J31" s="10" t="b">
        <v>1</v>
      </c>
    </row>
    <row r="32">
      <c r="A32" s="5" t="n">
        <v>45717</v>
      </c>
      <c r="B32" s="6" t="n">
        <v>100.548320767649</v>
      </c>
      <c r="C32" s="6" t="n">
        <v>99.7317176127303</v>
      </c>
      <c r="D32" s="6" t="n">
        <v>99.5632622755079</v>
      </c>
      <c r="E32" s="6" t="n">
        <v>99.9004579667348</v>
      </c>
      <c r="F32" s="6" t="n">
        <v>100.665700225079</v>
      </c>
      <c r="G32" s="6" t="n">
        <v>99.3735711963936</v>
      </c>
      <c r="H32" s="6" t="n">
        <v>99.0550673065206</v>
      </c>
      <c r="I32" s="6" t="n">
        <v>99.693099210833</v>
      </c>
      <c r="J32" s="10" t="b">
        <v>1</v>
      </c>
    </row>
    <row r="33">
      <c r="A33" s="5" t="n">
        <v>45748</v>
      </c>
      <c r="B33" s="6" t="n">
        <v>100.83730063168</v>
      </c>
      <c r="C33" s="6" t="n">
        <v>99.6310736550519</v>
      </c>
      <c r="D33" s="6" t="n">
        <v>99.4084981765129</v>
      </c>
      <c r="E33" s="6" t="n">
        <v>99.854147479754</v>
      </c>
      <c r="F33" s="6" t="n">
        <v>101.157822454507</v>
      </c>
      <c r="G33" s="6" t="n">
        <v>99.285434218805</v>
      </c>
      <c r="H33" s="6" t="n">
        <v>98.8634652092863</v>
      </c>
      <c r="I33" s="6" t="n">
        <v>99.7092042763106</v>
      </c>
      <c r="J33" s="10" t="b">
        <v>1</v>
      </c>
    </row>
    <row r="34">
      <c r="A34" s="5" t="n">
        <v>45778</v>
      </c>
      <c r="B34" s="6" t="n">
        <v>101.086453142656</v>
      </c>
      <c r="C34" s="6" t="n">
        <v>99.5309714809973</v>
      </c>
      <c r="D34" s="6" t="n">
        <v>99.2539753572108</v>
      </c>
      <c r="E34" s="6" t="n">
        <v>99.8087406403455</v>
      </c>
      <c r="F34" s="6" t="n">
        <v>101.178804410026</v>
      </c>
      <c r="G34" s="6" t="n">
        <v>99.2153461697891</v>
      </c>
      <c r="H34" s="6" t="n">
        <v>98.6893104101648</v>
      </c>
      <c r="I34" s="6" t="n">
        <v>99.7441858158653</v>
      </c>
      <c r="J34" s="10" t="b">
        <v>1</v>
      </c>
    </row>
    <row r="35">
      <c r="A35" s="5" t="n">
        <v>45809</v>
      </c>
      <c r="B35" s="6" t="n">
        <v>101.484726673212</v>
      </c>
      <c r="C35" s="6" t="n">
        <v>99.5111917549963</v>
      </c>
      <c r="D35" s="6" t="n">
        <v>99.1761764496438</v>
      </c>
      <c r="E35" s="6" t="n">
        <v>99.8473387359068</v>
      </c>
      <c r="F35" s="6" t="n">
        <v>101.657574485942</v>
      </c>
      <c r="G35" s="6" t="n">
        <v>99.1840462933051</v>
      </c>
      <c r="H35" s="6" t="n">
        <v>98.5566516192854</v>
      </c>
      <c r="I35" s="6" t="n">
        <v>99.8154348537904</v>
      </c>
      <c r="J35" s="10" t="b">
        <v>1</v>
      </c>
    </row>
    <row r="36">
      <c r="A36" s="5" t="n">
        <v>45839</v>
      </c>
      <c r="B36" s="6" t="n">
        <v>101.483800455699</v>
      </c>
      <c r="C36" s="6" t="n">
        <v>99.4624875450576</v>
      </c>
      <c r="D36" s="6" t="n">
        <v>99.0620435832351</v>
      </c>
      <c r="E36" s="6" t="n">
        <v>99.8645502435906</v>
      </c>
      <c r="F36" s="6" t="n">
        <v>101.533590203334</v>
      </c>
      <c r="G36" s="6" t="n">
        <v>99.0832382237696</v>
      </c>
      <c r="H36" s="6" t="n">
        <v>98.349961886493</v>
      </c>
      <c r="I36" s="6" t="n">
        <v>99.8219817130053</v>
      </c>
      <c r="J36" s="10" t="b">
        <v>1</v>
      </c>
    </row>
    <row r="37">
      <c r="A37" s="5" t="n">
        <v>45870</v>
      </c>
      <c r="B37" s="6" t="n">
        <v>101.36987570161</v>
      </c>
      <c r="C37" s="6" t="n">
        <v>99.3057211965983</v>
      </c>
      <c r="D37" s="6" t="n">
        <v>98.837115232691</v>
      </c>
      <c r="E37" s="6" t="n">
        <v>99.7765489124143</v>
      </c>
      <c r="F37" s="6" t="n">
        <v>101.451569831763</v>
      </c>
      <c r="G37" s="6" t="n">
        <v>98.8791048640335</v>
      </c>
      <c r="H37" s="6" t="n">
        <v>98.0261177905643</v>
      </c>
      <c r="I37" s="6" t="n">
        <v>99.7395143159862</v>
      </c>
      <c r="J37" s="10" t="b">
        <v>1</v>
      </c>
    </row>
    <row r="38">
      <c r="A38" s="5" t="n">
        <v>45901</v>
      </c>
      <c r="B38" s="6" t="n">
        <v>101.548635681603</v>
      </c>
      <c r="C38" s="6" t="n">
        <v>99.2603230866551</v>
      </c>
      <c r="D38" s="6" t="n">
        <v>98.7163540026402</v>
      </c>
      <c r="E38" s="6" t="n">
        <v>99.8072896716145</v>
      </c>
      <c r="F38" s="6" t="n">
        <v>101.386716514706</v>
      </c>
      <c r="G38" s="6" t="n">
        <v>98.7903033054856</v>
      </c>
      <c r="H38" s="6" t="n">
        <v>97.7969302623365</v>
      </c>
      <c r="I38" s="6" t="n">
        <v>99.7937665426745</v>
      </c>
      <c r="J38" s="10" t="b">
        <v>1</v>
      </c>
    </row>
    <row r="39">
      <c r="A39" s="5" t="n">
        <v>45931</v>
      </c>
      <c r="B39" s="6" t="n">
        <v>101.546783246578</v>
      </c>
      <c r="C39" s="6" t="n">
        <v>99.1384201485865</v>
      </c>
      <c r="D39" s="6" t="n">
        <v>98.5101049526906</v>
      </c>
      <c r="E39" s="6" t="n">
        <v>99.7707428519922</v>
      </c>
      <c r="F39" s="6" t="n">
        <v>101.461107084271</v>
      </c>
      <c r="G39" s="6" t="n">
        <v>98.6870196811311</v>
      </c>
      <c r="H39" s="6" t="n">
        <v>97.5322820458793</v>
      </c>
      <c r="I39" s="6" t="n">
        <v>99.8554288821281</v>
      </c>
      <c r="J39" s="10" t="b">
        <v>1</v>
      </c>
    </row>
    <row r="40">
      <c r="A40" s="5" t="n">
        <v>45962</v>
      </c>
      <c r="B40" s="6" t="n">
        <v>101.526406461293</v>
      </c>
      <c r="C40" s="6" t="n">
        <v>99.0624003371718</v>
      </c>
      <c r="D40" s="6" t="n">
        <v>98.3544487771547</v>
      </c>
      <c r="E40" s="6" t="n">
        <v>99.7754477054372</v>
      </c>
      <c r="F40" s="6" t="n">
        <v>101.496394918552</v>
      </c>
      <c r="G40" s="6" t="n">
        <v>98.6286875102559</v>
      </c>
      <c r="H40" s="6" t="n">
        <v>97.3140239594427</v>
      </c>
      <c r="I40" s="6" t="n">
        <v>99.9611115048522</v>
      </c>
      <c r="J40" s="10" t="b">
        <v>1</v>
      </c>
    </row>
    <row r="41">
      <c r="A41" s="8" t="n">
        <v>45992</v>
      </c>
      <c r="B41" s="9" t="n">
        <v>101.965433562418</v>
      </c>
      <c r="C41" s="9" t="n">
        <v>98.9902886615394</v>
      </c>
      <c r="D41" s="9" t="n">
        <v>98.2079537288096</v>
      </c>
      <c r="E41" s="9" t="n">
        <v>99.7788557569784</v>
      </c>
      <c r="F41" s="9" t="n">
        <v>102.050509289284</v>
      </c>
      <c r="G41" s="9" t="n">
        <v>98.5564041562984</v>
      </c>
      <c r="H41" s="9" t="n">
        <v>97.0971188295393</v>
      </c>
      <c r="I41" s="9" t="n">
        <v>100.037621273522</v>
      </c>
      <c r="J41" s="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35.71" hidden="0" customWidth="1"/>
    <col min="3" max="3" width="38.71" hidden="0" customWidth="1"/>
  </cols>
  <sheetData>
    <row r="1">
      <c r="A1" s="1" t="s">
        <v>25</v>
      </c>
    </row>
    <row r="2">
      <c r="A2" s="2" t="s">
        <v>26</v>
      </c>
    </row>
    <row r="3">
      <c r="A3" s="2" t="s">
        <v>15</v>
      </c>
    </row>
    <row r="5">
      <c r="A5" s="4" t="s">
        <v>4</v>
      </c>
      <c r="B5" s="4" t="s">
        <v>27</v>
      </c>
      <c r="C5" s="4" t="s">
        <v>28</v>
      </c>
    </row>
    <row r="6">
      <c r="A6" s="5" t="n">
        <v>45627</v>
      </c>
      <c r="B6" s="6" t="n">
        <v>0</v>
      </c>
      <c r="C6" s="6" t="n">
        <v>0</v>
      </c>
    </row>
    <row r="7">
      <c r="A7" s="5" t="n">
        <v>45658</v>
      </c>
      <c r="B7" s="6" t="n">
        <v>0.505185940886621</v>
      </c>
      <c r="C7" s="6" t="n">
        <v>0.590328760028691</v>
      </c>
    </row>
    <row r="8">
      <c r="A8" s="5" t="n">
        <v>45689</v>
      </c>
      <c r="B8" s="6" t="n">
        <v>0.995709773291975</v>
      </c>
      <c r="C8" s="6" t="n">
        <v>1.25519100982316</v>
      </c>
    </row>
    <row r="9">
      <c r="A9" s="5" t="n">
        <v>45717</v>
      </c>
      <c r="B9" s="6" t="n">
        <v>0.818799850705254</v>
      </c>
      <c r="C9" s="6" t="n">
        <v>1.30027432156175</v>
      </c>
    </row>
    <row r="10">
      <c r="A10" s="5" t="n">
        <v>45748</v>
      </c>
      <c r="B10" s="6" t="n">
        <v>1.21069354406913</v>
      </c>
      <c r="C10" s="6" t="n">
        <v>1.88586397434285</v>
      </c>
    </row>
    <row r="11">
      <c r="A11" s="5" t="n">
        <v>45778</v>
      </c>
      <c r="B11" s="6" t="n">
        <v>1.56281169420285</v>
      </c>
      <c r="C11" s="6" t="n">
        <v>1.97898643308299</v>
      </c>
    </row>
    <row r="12">
      <c r="A12" s="5" t="n">
        <v>45809</v>
      </c>
      <c r="B12" s="6" t="n">
        <v>1.98322910560114</v>
      </c>
      <c r="C12" s="6" t="n">
        <v>2.49387707507138</v>
      </c>
    </row>
    <row r="13">
      <c r="A13" s="5" t="n">
        <v>45839</v>
      </c>
      <c r="B13" s="6" t="n">
        <v>2.03223643459121</v>
      </c>
      <c r="C13" s="6" t="n">
        <v>2.47302371570732</v>
      </c>
    </row>
    <row r="14">
      <c r="A14" s="5" t="n">
        <v>45870</v>
      </c>
      <c r="B14" s="6" t="n">
        <v>2.07858568483177</v>
      </c>
      <c r="C14" s="6" t="n">
        <v>2.6016264723135</v>
      </c>
    </row>
    <row r="15">
      <c r="A15" s="5" t="n">
        <v>45901</v>
      </c>
      <c r="B15" s="6" t="n">
        <v>2.3053648464862</v>
      </c>
      <c r="C15" s="6" t="n">
        <v>2.62820653682181</v>
      </c>
    </row>
    <row r="16">
      <c r="A16" s="5" t="n">
        <v>45931</v>
      </c>
      <c r="B16" s="6" t="n">
        <v>2.42929340046121</v>
      </c>
      <c r="C16" s="6" t="n">
        <v>2.81099521710502</v>
      </c>
    </row>
    <row r="17">
      <c r="A17" s="5" t="n">
        <v>45962</v>
      </c>
      <c r="B17" s="6" t="n">
        <v>2.48732729646668</v>
      </c>
      <c r="C17" s="6" t="n">
        <v>2.90757940786524</v>
      </c>
    </row>
    <row r="18">
      <c r="A18" s="8" t="n">
        <v>45992</v>
      </c>
      <c r="B18" s="9" t="n">
        <v>3.00549169126154</v>
      </c>
      <c r="C18" s="9" t="n">
        <v>3.54528471579003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13.71" hidden="0" customWidth="1"/>
  </cols>
  <sheetData>
    <row r="1">
      <c r="A1" s="1" t="s">
        <v>29</v>
      </c>
    </row>
    <row r="2">
      <c r="A2" s="2" t="s">
        <v>30</v>
      </c>
    </row>
    <row r="3">
      <c r="A3" s="2" t="s">
        <v>31</v>
      </c>
    </row>
    <row r="4">
      <c r="A4" s="2" t="s">
        <v>32</v>
      </c>
    </row>
    <row r="6">
      <c r="A6" s="4" t="s">
        <v>33</v>
      </c>
      <c r="B6" s="4" t="s">
        <v>34</v>
      </c>
      <c r="C6" s="4" t="s">
        <v>35</v>
      </c>
      <c r="D6" s="4" t="s">
        <v>36</v>
      </c>
      <c r="E6" s="4" t="s">
        <v>37</v>
      </c>
      <c r="F6" s="4" t="s">
        <v>38</v>
      </c>
      <c r="G6" s="4" t="s">
        <v>39</v>
      </c>
      <c r="H6" s="4" t="s">
        <v>40</v>
      </c>
      <c r="I6" s="4" t="s">
        <v>41</v>
      </c>
      <c r="J6" s="4" t="s">
        <v>42</v>
      </c>
    </row>
    <row r="7">
      <c r="A7" s="10" t="s">
        <v>43</v>
      </c>
      <c r="B7" s="10" t="s">
        <v>44</v>
      </c>
      <c r="C7" s="10" t="s">
        <v>45</v>
      </c>
      <c r="D7" s="10" t="s">
        <v>46</v>
      </c>
      <c r="E7" s="10" t="s">
        <v>47</v>
      </c>
      <c r="F7" s="10" t="s">
        <v>48</v>
      </c>
      <c r="G7" s="10" t="s">
        <v>49</v>
      </c>
      <c r="H7" s="10" t="s">
        <v>50</v>
      </c>
      <c r="I7" s="10" t="s">
        <v>51</v>
      </c>
      <c r="J7" s="10" t="s">
        <v>52</v>
      </c>
    </row>
    <row r="8">
      <c r="A8" s="11" t="s">
        <v>53</v>
      </c>
      <c r="B8" s="11" t="s">
        <v>54</v>
      </c>
      <c r="C8" s="11" t="s">
        <v>55</v>
      </c>
      <c r="D8" s="11" t="s">
        <v>56</v>
      </c>
      <c r="E8" s="11" t="s">
        <v>47</v>
      </c>
      <c r="F8" s="11" t="s">
        <v>57</v>
      </c>
      <c r="G8" s="11" t="s">
        <v>58</v>
      </c>
      <c r="H8" s="11" t="s">
        <v>59</v>
      </c>
      <c r="I8" s="11" t="s">
        <v>60</v>
      </c>
      <c r="J8" s="11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0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62</v>
      </c>
    </row>
    <row r="2">
      <c r="A2" s="2" t="s">
        <v>30</v>
      </c>
    </row>
    <row r="3">
      <c r="A3" s="2" t="s">
        <v>31</v>
      </c>
    </row>
    <row r="4">
      <c r="A4" s="2" t="s">
        <v>32</v>
      </c>
    </row>
    <row r="6">
      <c r="A6" s="4" t="s">
        <v>33</v>
      </c>
      <c r="B6" s="4" t="s">
        <v>34</v>
      </c>
      <c r="C6" s="4" t="s">
        <v>35</v>
      </c>
      <c r="D6" s="4" t="s">
        <v>36</v>
      </c>
      <c r="E6" s="4" t="s">
        <v>37</v>
      </c>
      <c r="F6" s="4" t="s">
        <v>38</v>
      </c>
      <c r="G6" s="4" t="s">
        <v>39</v>
      </c>
      <c r="H6" s="4" t="s">
        <v>40</v>
      </c>
      <c r="I6" s="4" t="s">
        <v>41</v>
      </c>
      <c r="J6" s="4" t="s">
        <v>63</v>
      </c>
    </row>
    <row r="7">
      <c r="A7" s="10" t="s">
        <v>43</v>
      </c>
      <c r="B7" s="10" t="s">
        <v>44</v>
      </c>
      <c r="C7" s="10" t="s">
        <v>64</v>
      </c>
      <c r="D7" s="10" t="s">
        <v>65</v>
      </c>
      <c r="E7" s="10" t="s">
        <v>66</v>
      </c>
      <c r="F7" s="10" t="s">
        <v>67</v>
      </c>
      <c r="G7" s="10" t="s">
        <v>68</v>
      </c>
      <c r="H7" s="10" t="s">
        <v>69</v>
      </c>
      <c r="I7" s="10" t="s">
        <v>70</v>
      </c>
      <c r="J7" s="10" t="s">
        <v>71</v>
      </c>
    </row>
    <row r="8">
      <c r="A8" s="11" t="s">
        <v>53</v>
      </c>
      <c r="B8" s="11" t="s">
        <v>54</v>
      </c>
      <c r="C8" s="11" t="s">
        <v>72</v>
      </c>
      <c r="D8" s="11" t="s">
        <v>73</v>
      </c>
      <c r="E8" s="11" t="s">
        <v>48</v>
      </c>
      <c r="F8" s="11" t="s">
        <v>74</v>
      </c>
      <c r="G8" s="11" t="s">
        <v>75</v>
      </c>
      <c r="H8" s="11" t="s">
        <v>76</v>
      </c>
      <c r="I8" s="11" t="s">
        <v>77</v>
      </c>
      <c r="J8" s="11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67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79</v>
      </c>
    </row>
    <row r="2">
      <c r="A2" s="2" t="s">
        <v>80</v>
      </c>
    </row>
    <row r="3">
      <c r="A3" s="2" t="s">
        <v>81</v>
      </c>
    </row>
    <row r="5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63</v>
      </c>
    </row>
    <row r="6">
      <c r="A6" s="10" t="s">
        <v>82</v>
      </c>
      <c r="B6" s="10" t="s">
        <v>44</v>
      </c>
      <c r="C6" s="10" t="s">
        <v>83</v>
      </c>
      <c r="D6" s="10" t="s">
        <v>84</v>
      </c>
      <c r="E6" s="10" t="s">
        <v>85</v>
      </c>
      <c r="F6" s="10" t="s">
        <v>58</v>
      </c>
      <c r="G6" s="10" t="s">
        <v>86</v>
      </c>
      <c r="H6" s="10" t="s">
        <v>87</v>
      </c>
      <c r="I6" s="10" t="s">
        <v>88</v>
      </c>
      <c r="J6" s="10" t="s">
        <v>89</v>
      </c>
    </row>
    <row r="7">
      <c r="A7" s="11" t="s">
        <v>90</v>
      </c>
      <c r="B7" s="11" t="s">
        <v>54</v>
      </c>
      <c r="C7" s="11" t="s">
        <v>83</v>
      </c>
      <c r="D7" s="11" t="s">
        <v>91</v>
      </c>
      <c r="E7" s="11" t="s">
        <v>86</v>
      </c>
      <c r="F7" s="11" t="s">
        <v>56</v>
      </c>
      <c r="G7" s="11" t="s">
        <v>46</v>
      </c>
      <c r="H7" s="11" t="s">
        <v>92</v>
      </c>
      <c r="I7" s="11" t="s">
        <v>93</v>
      </c>
      <c r="J7" s="11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71.71" hidden="0" customWidth="1"/>
    <col min="2" max="2" width="12.71" hidden="0" customWidth="1"/>
    <col min="3" max="3" width="20.71" hidden="0" customWidth="1"/>
    <col min="4" max="4" width="44.71" hidden="0" customWidth="1"/>
    <col min="5" max="5" width="25.71" hidden="0" customWidth="1"/>
    <col min="6" max="6" width="25.71" hidden="0" customWidth="1"/>
    <col min="7" max="7" width="27.71" hidden="0" customWidth="1"/>
    <col min="8" max="8" width="28.71" hidden="0" customWidth="1"/>
    <col min="9" max="9" width="24.71" hidden="0" customWidth="1"/>
    <col min="10" max="10" width="26.71" hidden="0" customWidth="1"/>
  </cols>
  <sheetData>
    <row r="1">
      <c r="A1" s="1" t="s">
        <v>95</v>
      </c>
    </row>
    <row r="2">
      <c r="A2" s="2" t="s">
        <v>80</v>
      </c>
    </row>
    <row r="3">
      <c r="A3" s="2" t="s">
        <v>81</v>
      </c>
    </row>
    <row r="5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63</v>
      </c>
    </row>
    <row r="6">
      <c r="A6" s="10" t="s">
        <v>82</v>
      </c>
      <c r="B6" s="10" t="s">
        <v>44</v>
      </c>
      <c r="C6" s="10" t="s">
        <v>96</v>
      </c>
      <c r="D6" s="10" t="s">
        <v>97</v>
      </c>
      <c r="E6" s="10" t="s">
        <v>58</v>
      </c>
      <c r="F6" s="10" t="s">
        <v>73</v>
      </c>
      <c r="G6" s="10" t="s">
        <v>56</v>
      </c>
      <c r="H6" s="10" t="s">
        <v>98</v>
      </c>
      <c r="I6" s="10" t="s">
        <v>99</v>
      </c>
      <c r="J6" s="10" t="s">
        <v>77</v>
      </c>
    </row>
    <row r="7">
      <c r="A7" s="11" t="s">
        <v>90</v>
      </c>
      <c r="B7" s="11" t="s">
        <v>54</v>
      </c>
      <c r="C7" s="11" t="s">
        <v>96</v>
      </c>
      <c r="D7" s="11" t="s">
        <v>58</v>
      </c>
      <c r="E7" s="11" t="s">
        <v>91</v>
      </c>
      <c r="F7" s="11" t="s">
        <v>75</v>
      </c>
      <c r="G7" s="11" t="s">
        <v>100</v>
      </c>
      <c r="H7" s="11" t="s">
        <v>101</v>
      </c>
      <c r="I7" s="11" t="s">
        <v>102</v>
      </c>
      <c r="J7" s="11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93.71" hidden="0" customWidth="1"/>
    <col min="2" max="2" width="42.71" hidden="0" customWidth="1"/>
    <col min="3" max="3" width="36.71" hidden="0" customWidth="1"/>
    <col min="4" max="4" width="38.71" hidden="0" customWidth="1"/>
    <col min="5" max="5" width="38.71" hidden="0" customWidth="1"/>
    <col min="6" max="6" width="40.71" hidden="0" customWidth="1"/>
    <col min="7" max="7" width="34.71" hidden="0" customWidth="1"/>
    <col min="8" max="8" width="36.71" hidden="0" customWidth="1"/>
    <col min="9" max="9" width="36.71" hidden="0" customWidth="1"/>
    <col min="10" max="10" width="18.71" hidden="0" customWidth="1"/>
  </cols>
  <sheetData>
    <row r="1">
      <c r="A1" s="1" t="s">
        <v>104</v>
      </c>
    </row>
    <row r="2">
      <c r="A2" s="2" t="s">
        <v>105</v>
      </c>
    </row>
    <row r="3">
      <c r="A3" s="2" t="s">
        <v>106</v>
      </c>
    </row>
    <row r="5">
      <c r="A5" s="4" t="s">
        <v>4</v>
      </c>
      <c r="B5" s="4" t="s">
        <v>107</v>
      </c>
      <c r="C5" s="4" t="s">
        <v>108</v>
      </c>
      <c r="D5" s="4" t="s">
        <v>109</v>
      </c>
      <c r="E5" s="4" t="s">
        <v>110</v>
      </c>
      <c r="F5" s="4" t="s">
        <v>111</v>
      </c>
      <c r="G5" s="4" t="s">
        <v>112</v>
      </c>
      <c r="H5" s="4" t="s">
        <v>113</v>
      </c>
      <c r="I5" s="4" t="s">
        <v>114</v>
      </c>
      <c r="J5" s="4" t="s">
        <v>24</v>
      </c>
    </row>
    <row r="6">
      <c r="A6" s="5" t="n">
        <v>44927</v>
      </c>
      <c r="B6" s="6" t="n">
        <v>100.664498551111</v>
      </c>
      <c r="C6" s="6" t="n">
        <v>102.894792192898</v>
      </c>
      <c r="D6" s="6" t="n">
        <v>102.061986198536</v>
      </c>
      <c r="E6" s="6" t="n">
        <v>103.734393722503</v>
      </c>
      <c r="F6" s="6" t="n">
        <v>103.482559285209</v>
      </c>
      <c r="G6" s="6" t="n">
        <v>102.9170256403</v>
      </c>
      <c r="H6" s="6" t="n">
        <v>101.316751363639</v>
      </c>
      <c r="I6" s="6" t="n">
        <v>104.542575873068</v>
      </c>
      <c r="J6" s="10" t="b">
        <v>0</v>
      </c>
    </row>
    <row r="7">
      <c r="A7" s="5" t="n">
        <v>44958</v>
      </c>
      <c r="B7" s="6" t="n">
        <v>100.8844824557</v>
      </c>
      <c r="C7" s="6" t="n">
        <v>102.772652510069</v>
      </c>
      <c r="D7" s="6" t="n">
        <v>101.960510291112</v>
      </c>
      <c r="E7" s="6" t="n">
        <v>103.591263654906</v>
      </c>
      <c r="F7" s="6" t="n">
        <v>103.602472440136</v>
      </c>
      <c r="G7" s="6" t="n">
        <v>102.780076586832</v>
      </c>
      <c r="H7" s="6" t="n">
        <v>101.219593874671</v>
      </c>
      <c r="I7" s="6" t="n">
        <v>104.36461695623</v>
      </c>
      <c r="J7" s="10" t="b">
        <v>0</v>
      </c>
    </row>
    <row r="8">
      <c r="A8" s="5" t="n">
        <v>44986</v>
      </c>
      <c r="B8" s="6" t="n">
        <v>101.05669356443</v>
      </c>
      <c r="C8" s="6" t="n">
        <v>102.66245741819</v>
      </c>
      <c r="D8" s="6" t="n">
        <v>101.869270353179</v>
      </c>
      <c r="E8" s="6" t="n">
        <v>103.461820494062</v>
      </c>
      <c r="F8" s="6" t="n">
        <v>103.508353904217</v>
      </c>
      <c r="G8" s="6" t="n">
        <v>102.656537308826</v>
      </c>
      <c r="H8" s="6" t="n">
        <v>101.132548648851</v>
      </c>
      <c r="I8" s="6" t="n">
        <v>104.203491289726</v>
      </c>
      <c r="J8" s="10" t="b">
        <v>0</v>
      </c>
    </row>
    <row r="9">
      <c r="A9" s="5" t="n">
        <v>45017</v>
      </c>
      <c r="B9" s="6" t="n">
        <v>101.041333104249</v>
      </c>
      <c r="C9" s="6" t="n">
        <v>102.540593524787</v>
      </c>
      <c r="D9" s="6" t="n">
        <v>101.76874131253</v>
      </c>
      <c r="E9" s="6" t="n">
        <v>103.318299753021</v>
      </c>
      <c r="F9" s="6" t="n">
        <v>103.315890094749</v>
      </c>
      <c r="G9" s="6" t="n">
        <v>102.519934880518</v>
      </c>
      <c r="H9" s="6" t="n">
        <v>101.037013744748</v>
      </c>
      <c r="I9" s="6" t="n">
        <v>104.024620862788</v>
      </c>
      <c r="J9" s="10" t="b">
        <v>0</v>
      </c>
    </row>
    <row r="10">
      <c r="A10" s="5" t="n">
        <v>45047</v>
      </c>
      <c r="B10" s="6" t="n">
        <v>101.151210164869</v>
      </c>
      <c r="C10" s="6" t="n">
        <v>102.422798458889</v>
      </c>
      <c r="D10" s="6" t="n">
        <v>101.671971417502</v>
      </c>
      <c r="E10" s="6" t="n">
        <v>103.179170206828</v>
      </c>
      <c r="F10" s="6" t="n">
        <v>103.160060584097</v>
      </c>
      <c r="G10" s="6" t="n">
        <v>102.38791205708</v>
      </c>
      <c r="H10" s="6" t="n">
        <v>100.94545414316</v>
      </c>
      <c r="I10" s="6" t="n">
        <v>103.850981942595</v>
      </c>
      <c r="J10" s="10" t="b">
        <v>0</v>
      </c>
    </row>
    <row r="11">
      <c r="A11" s="5" t="n">
        <v>45078</v>
      </c>
      <c r="B11" s="6" t="n">
        <v>100.97870613051</v>
      </c>
      <c r="C11" s="6" t="n">
        <v>102.301219048973</v>
      </c>
      <c r="D11" s="6" t="n">
        <v>101.572544980297</v>
      </c>
      <c r="E11" s="6" t="n">
        <v>103.035120572554</v>
      </c>
      <c r="F11" s="6" t="n">
        <v>102.787914530414</v>
      </c>
      <c r="G11" s="6" t="n">
        <v>102.251667081524</v>
      </c>
      <c r="H11" s="6" t="n">
        <v>100.851834321453</v>
      </c>
      <c r="I11" s="6" t="n">
        <v>103.670929649386</v>
      </c>
      <c r="J11" s="10" t="b">
        <v>0</v>
      </c>
    </row>
    <row r="12">
      <c r="A12" s="5" t="n">
        <v>45108</v>
      </c>
      <c r="B12" s="6" t="n">
        <v>100.691875266513</v>
      </c>
      <c r="C12" s="6" t="n">
        <v>102.183698968144</v>
      </c>
      <c r="D12" s="6" t="n">
        <v>101.476915649443</v>
      </c>
      <c r="E12" s="6" t="n">
        <v>102.895405008987</v>
      </c>
      <c r="F12" s="6" t="n">
        <v>102.23537117278</v>
      </c>
      <c r="G12" s="6" t="n">
        <v>102.119989727212</v>
      </c>
      <c r="H12" s="6" t="n">
        <v>100.762269245929</v>
      </c>
      <c r="I12" s="6" t="n">
        <v>103.496004803477</v>
      </c>
      <c r="J12" s="10" t="b">
        <v>0</v>
      </c>
    </row>
    <row r="13">
      <c r="A13" s="5" t="n">
        <v>45139</v>
      </c>
      <c r="B13" s="6" t="n">
        <v>100.753723847165</v>
      </c>
      <c r="C13" s="6" t="n">
        <v>102.062403377607</v>
      </c>
      <c r="D13" s="6" t="n">
        <v>101.378755156737</v>
      </c>
      <c r="E13" s="6" t="n">
        <v>102.750661784202</v>
      </c>
      <c r="F13" s="6" t="n">
        <v>102.082102860556</v>
      </c>
      <c r="G13" s="6" t="n">
        <v>101.984101269046</v>
      </c>
      <c r="H13" s="6" t="n">
        <v>100.670878211796</v>
      </c>
      <c r="I13" s="6" t="n">
        <v>103.314454948665</v>
      </c>
      <c r="J13" s="10" t="b">
        <v>0</v>
      </c>
    </row>
    <row r="14">
      <c r="A14" s="5" t="n">
        <v>45170</v>
      </c>
      <c r="B14" s="6" t="n">
        <v>100.560195800309</v>
      </c>
      <c r="C14" s="6" t="n">
        <v>101.941251769137</v>
      </c>
      <c r="D14" s="6" t="n">
        <v>101.281317531361</v>
      </c>
      <c r="E14" s="6" t="n">
        <v>102.605486041794</v>
      </c>
      <c r="F14" s="6" t="n">
        <v>101.865103072251</v>
      </c>
      <c r="G14" s="6" t="n">
        <v>101.848393634176</v>
      </c>
      <c r="H14" s="6" t="n">
        <v>100.580772546473</v>
      </c>
      <c r="I14" s="6" t="n">
        <v>103.131990570755</v>
      </c>
      <c r="J14" s="10" t="b">
        <v>0</v>
      </c>
    </row>
    <row r="15">
      <c r="A15" s="5" t="n">
        <v>45200</v>
      </c>
      <c r="B15" s="6" t="n">
        <v>100.654666067091</v>
      </c>
      <c r="C15" s="6" t="n">
        <v>101.824145206194</v>
      </c>
      <c r="D15" s="6" t="n">
        <v>101.187773456756</v>
      </c>
      <c r="E15" s="6" t="n">
        <v>102.464519109149</v>
      </c>
      <c r="F15" s="6" t="n">
        <v>101.698646813725</v>
      </c>
      <c r="G15" s="6" t="n">
        <v>101.717235606171</v>
      </c>
      <c r="H15" s="6" t="n">
        <v>100.494916677608</v>
      </c>
      <c r="I15" s="6" t="n">
        <v>102.954421590825</v>
      </c>
      <c r="J15" s="10" t="b">
        <v>0</v>
      </c>
    </row>
    <row r="16">
      <c r="A16" s="5" t="n">
        <v>45231</v>
      </c>
      <c r="B16" s="6" t="n">
        <v>100.21962743666</v>
      </c>
      <c r="C16" s="6" t="n">
        <v>101.703276418427</v>
      </c>
      <c r="D16" s="6" t="n">
        <v>101.091962895819</v>
      </c>
      <c r="E16" s="6" t="n">
        <v>102.318286616936</v>
      </c>
      <c r="F16" s="6" t="n">
        <v>101.178481674953</v>
      </c>
      <c r="G16" s="6" t="n">
        <v>101.581883082612</v>
      </c>
      <c r="H16" s="6" t="n">
        <v>100.407733273184</v>
      </c>
      <c r="I16" s="6" t="n">
        <v>102.769763186809</v>
      </c>
      <c r="J16" s="10" t="b">
        <v>0</v>
      </c>
    </row>
    <row r="17">
      <c r="A17" s="5" t="n">
        <v>45261</v>
      </c>
      <c r="B17" s="6" t="n">
        <v>100.054508388833</v>
      </c>
      <c r="C17" s="6" t="n">
        <v>101.586443233286</v>
      </c>
      <c r="D17" s="6" t="n">
        <v>101.000154746302</v>
      </c>
      <c r="E17" s="6" t="n">
        <v>102.176135023868</v>
      </c>
      <c r="F17" s="6" t="n">
        <v>100.95312061945</v>
      </c>
      <c r="G17" s="6" t="n">
        <v>101.451068260789</v>
      </c>
      <c r="H17" s="6" t="n">
        <v>100.325015231938</v>
      </c>
      <c r="I17" s="6" t="n">
        <v>102.589760165606</v>
      </c>
      <c r="J17" s="10" t="b">
        <v>0</v>
      </c>
    </row>
    <row r="18">
      <c r="A18" s="5" t="n">
        <v>45292</v>
      </c>
      <c r="B18" s="6" t="n">
        <v>99.9947845750009</v>
      </c>
      <c r="C18" s="6" t="n">
        <v>101.465856605997</v>
      </c>
      <c r="D18" s="6" t="n">
        <v>100.906339810607</v>
      </c>
      <c r="E18" s="6" t="n">
        <v>102.028475872895</v>
      </c>
      <c r="F18" s="6" t="n">
        <v>101.104423346189</v>
      </c>
      <c r="G18" s="6" t="n">
        <v>101.316069919309</v>
      </c>
      <c r="H18" s="6" t="n">
        <v>100.241461838607</v>
      </c>
      <c r="I18" s="6" t="n">
        <v>102.402198008856</v>
      </c>
      <c r="J18" s="10" t="b">
        <v>0</v>
      </c>
    </row>
    <row r="19">
      <c r="A19" s="5" t="n">
        <v>45323</v>
      </c>
      <c r="B19" s="6" t="n">
        <v>100.116612515367</v>
      </c>
      <c r="C19" s="6" t="n">
        <v>101.345413119211</v>
      </c>
      <c r="D19" s="6" t="n">
        <v>100.813735890246</v>
      </c>
      <c r="E19" s="6" t="n">
        <v>101.879894337863</v>
      </c>
      <c r="F19" s="6" t="n">
        <v>100.99850365567</v>
      </c>
      <c r="G19" s="6" t="n">
        <v>101.181251216668</v>
      </c>
      <c r="H19" s="6" t="n">
        <v>100.16013122166</v>
      </c>
      <c r="I19" s="6" t="n">
        <v>102.212781402153</v>
      </c>
      <c r="J19" s="10" t="b">
        <v>0</v>
      </c>
    </row>
    <row r="20">
      <c r="A20" s="5" t="n">
        <v>45352</v>
      </c>
      <c r="B20" s="6" t="n">
        <v>100.239245912467</v>
      </c>
      <c r="C20" s="6" t="n">
        <v>101.232869615537</v>
      </c>
      <c r="D20" s="6" t="n">
        <v>100.728360842011</v>
      </c>
      <c r="E20" s="6" t="n">
        <v>101.73990527524</v>
      </c>
      <c r="F20" s="6" t="n">
        <v>101.036524004073</v>
      </c>
      <c r="G20" s="6" t="n">
        <v>101.055292911381</v>
      </c>
      <c r="H20" s="6" t="n">
        <v>100.086363634909</v>
      </c>
      <c r="I20" s="6" t="n">
        <v>102.033602326252</v>
      </c>
      <c r="J20" s="10" t="b">
        <v>0</v>
      </c>
    </row>
    <row r="21">
      <c r="A21" s="5" t="n">
        <v>45383</v>
      </c>
      <c r="B21" s="6" t="n">
        <v>100.375102112596</v>
      </c>
      <c r="C21" s="6" t="n">
        <v>101.11270269238</v>
      </c>
      <c r="D21" s="6" t="n">
        <v>100.638656927876</v>
      </c>
      <c r="E21" s="6" t="n">
        <v>101.588981389971</v>
      </c>
      <c r="F21" s="6" t="n">
        <v>100.896749679973</v>
      </c>
      <c r="G21" s="6" t="n">
        <v>100.920821218034</v>
      </c>
      <c r="H21" s="6" t="n">
        <v>100.010403177425</v>
      </c>
      <c r="I21" s="6" t="n">
        <v>101.83952700654</v>
      </c>
      <c r="J21" s="10" t="b">
        <v>0</v>
      </c>
    </row>
    <row r="22">
      <c r="A22" s="5" t="n">
        <v>45413</v>
      </c>
      <c r="B22" s="6" t="n">
        <v>100.254963284822</v>
      </c>
      <c r="C22" s="6" t="n">
        <v>100.996547937787</v>
      </c>
      <c r="D22" s="6" t="n">
        <v>100.553661885838</v>
      </c>
      <c r="E22" s="6" t="n">
        <v>101.441384670112</v>
      </c>
      <c r="F22" s="6" t="n">
        <v>100.23682797714</v>
      </c>
      <c r="G22" s="6" t="n">
        <v>100.790857696536</v>
      </c>
      <c r="H22" s="6" t="n">
        <v>99.9402811697707</v>
      </c>
      <c r="I22" s="6" t="n">
        <v>101.648673350702</v>
      </c>
      <c r="J22" s="10" t="b">
        <v>0</v>
      </c>
    </row>
    <row r="23">
      <c r="A23" s="5" t="n">
        <v>45444</v>
      </c>
      <c r="B23" s="6" t="n">
        <v>100.182942545871</v>
      </c>
      <c r="C23" s="6" t="n">
        <v>100.876661536648</v>
      </c>
      <c r="D23" s="6" t="n">
        <v>100.468117636241</v>
      </c>
      <c r="E23" s="6" t="n">
        <v>101.286866741381</v>
      </c>
      <c r="F23" s="6" t="n">
        <v>100.140077230208</v>
      </c>
      <c r="G23" s="6" t="n">
        <v>100.656737880365</v>
      </c>
      <c r="H23" s="6" t="n">
        <v>99.8721070181746</v>
      </c>
      <c r="I23" s="6" t="n">
        <v>101.447533082212</v>
      </c>
      <c r="J23" s="10" t="b">
        <v>0</v>
      </c>
    </row>
    <row r="24">
      <c r="A24" s="5" t="n">
        <v>45474</v>
      </c>
      <c r="B24" s="6" t="n">
        <v>100.114490267284</v>
      </c>
      <c r="C24" s="6" t="n">
        <v>100.76077793792</v>
      </c>
      <c r="D24" s="6" t="n">
        <v>100.388106885609</v>
      </c>
      <c r="E24" s="6" t="n">
        <v>101.134832458031</v>
      </c>
      <c r="F24" s="6" t="n">
        <v>100.005585351236</v>
      </c>
      <c r="G24" s="6" t="n">
        <v>100.527114439339</v>
      </c>
      <c r="H24" s="6" t="n">
        <v>99.8113619898799</v>
      </c>
      <c r="I24" s="6" t="n">
        <v>101.247999586706</v>
      </c>
      <c r="J24" s="10" t="b">
        <v>0</v>
      </c>
    </row>
    <row r="25">
      <c r="A25" s="5" t="n">
        <v>45505</v>
      </c>
      <c r="B25" s="6" t="n">
        <v>100.072124408771</v>
      </c>
      <c r="C25" s="6" t="n">
        <v>100.641171403939</v>
      </c>
      <c r="D25" s="6" t="n">
        <v>100.309201746677</v>
      </c>
      <c r="E25" s="6" t="n">
        <v>100.974239702716</v>
      </c>
      <c r="F25" s="6" t="n">
        <v>99.9637505068516</v>
      </c>
      <c r="G25" s="6" t="n">
        <v>100.393345579574</v>
      </c>
      <c r="H25" s="6" t="n">
        <v>99.7557373698988</v>
      </c>
      <c r="I25" s="6" t="n">
        <v>101.035029186212</v>
      </c>
      <c r="J25" s="10" t="b">
        <v>0</v>
      </c>
    </row>
    <row r="26">
      <c r="A26" s="5" t="n">
        <v>45536</v>
      </c>
      <c r="B26" s="6" t="n">
        <v>100.231677885344</v>
      </c>
      <c r="C26" s="6" t="n">
        <v>100.521706847057</v>
      </c>
      <c r="D26" s="6" t="n">
        <v>100.23569277024</v>
      </c>
      <c r="E26" s="6" t="n">
        <v>100.808537040866</v>
      </c>
      <c r="F26" s="6" t="n">
        <v>100.166671248842</v>
      </c>
      <c r="G26" s="6" t="n">
        <v>100.25975472261</v>
      </c>
      <c r="H26" s="6" t="n">
        <v>99.7103758235246</v>
      </c>
      <c r="I26" s="6" t="n">
        <v>100.812160560188</v>
      </c>
      <c r="J26" s="10" t="b">
        <v>0</v>
      </c>
    </row>
    <row r="27">
      <c r="A27" s="5" t="n">
        <v>45566</v>
      </c>
      <c r="B27" s="6" t="n">
        <v>100.13873664857</v>
      </c>
      <c r="C27" s="6" t="n">
        <v>100.406231007926</v>
      </c>
      <c r="D27" s="6" t="n">
        <v>100.172600606829</v>
      </c>
      <c r="E27" s="6" t="n">
        <v>100.640406300181</v>
      </c>
      <c r="F27" s="6" t="n">
        <v>100.252766531915</v>
      </c>
      <c r="G27" s="6" t="n">
        <v>100.130642507399</v>
      </c>
      <c r="H27" s="6" t="n">
        <v>99.6818370499179</v>
      </c>
      <c r="I27" s="6" t="n">
        <v>100.581468657362</v>
      </c>
      <c r="J27" s="10" t="b">
        <v>0</v>
      </c>
    </row>
    <row r="28">
      <c r="A28" s="5" t="n">
        <v>45597</v>
      </c>
      <c r="B28" s="6" t="n">
        <v>100.141795277726</v>
      </c>
      <c r="C28" s="6" t="n">
        <v>100.287045333433</v>
      </c>
      <c r="D28" s="6" t="n">
        <v>100.123581178332</v>
      </c>
      <c r="E28" s="6" t="n">
        <v>100.450776364025</v>
      </c>
      <c r="F28" s="6" t="n">
        <v>100.260427345327</v>
      </c>
      <c r="G28" s="6" t="n">
        <v>99.997401222693</v>
      </c>
      <c r="H28" s="6" t="n">
        <v>99.6833290351062</v>
      </c>
      <c r="I28" s="6" t="n">
        <v>100.312462957278</v>
      </c>
      <c r="J28" s="10" t="b">
        <v>0</v>
      </c>
    </row>
    <row r="29">
      <c r="A29" s="5" t="n">
        <v>45627</v>
      </c>
      <c r="B29" s="6" t="n">
        <v>100</v>
      </c>
      <c r="C29" s="6" t="n">
        <v>100</v>
      </c>
      <c r="D29" s="6" t="n">
        <v>100</v>
      </c>
      <c r="E29" s="6" t="n">
        <v>100</v>
      </c>
      <c r="F29" s="6" t="n">
        <v>100</v>
      </c>
      <c r="G29" s="6" t="n">
        <v>100</v>
      </c>
      <c r="H29" s="6" t="n">
        <v>100</v>
      </c>
      <c r="I29" s="6" t="n">
        <v>100</v>
      </c>
      <c r="J29" s="10" t="b">
        <v>0</v>
      </c>
    </row>
    <row r="30">
      <c r="A30" s="5" t="n">
        <v>45658</v>
      </c>
      <c r="B30" s="6" t="n">
        <v>100.056715980474</v>
      </c>
      <c r="C30" s="6" t="n">
        <v>99.947953510938</v>
      </c>
      <c r="D30" s="6" t="n">
        <v>99.9023655999833</v>
      </c>
      <c r="E30" s="6" t="n">
        <v>99.9935622247797</v>
      </c>
      <c r="F30" s="6" t="n">
        <v>99.8638372860923</v>
      </c>
      <c r="G30" s="6" t="n">
        <v>99.7388553069335</v>
      </c>
      <c r="H30" s="6" t="n">
        <v>99.6445682250357</v>
      </c>
      <c r="I30" s="6" t="n">
        <v>99.8332316064773</v>
      </c>
      <c r="J30" s="10" t="b">
        <v>1</v>
      </c>
    </row>
    <row r="31">
      <c r="A31" s="5" t="n">
        <v>45689</v>
      </c>
      <c r="B31" s="6" t="n">
        <v>100.28639864544</v>
      </c>
      <c r="C31" s="6" t="n">
        <v>99.8887890854133</v>
      </c>
      <c r="D31" s="6" t="n">
        <v>99.789292585378</v>
      </c>
      <c r="E31" s="6" t="n">
        <v>99.9883847900151</v>
      </c>
      <c r="F31" s="6" t="n">
        <v>99.8967961988371</v>
      </c>
      <c r="G31" s="6" t="n">
        <v>99.5984561794377</v>
      </c>
      <c r="H31" s="6" t="n">
        <v>99.3867164589722</v>
      </c>
      <c r="I31" s="6" t="n">
        <v>99.8106470035398</v>
      </c>
      <c r="J31" s="10" t="b">
        <v>1</v>
      </c>
    </row>
    <row r="32">
      <c r="A32" s="5" t="n">
        <v>45717</v>
      </c>
      <c r="B32" s="6" t="n">
        <v>100.137006479003</v>
      </c>
      <c r="C32" s="6" t="n">
        <v>99.8060016401001</v>
      </c>
      <c r="D32" s="6" t="n">
        <v>99.6574928584735</v>
      </c>
      <c r="E32" s="6" t="n">
        <v>99.9547317282997</v>
      </c>
      <c r="F32" s="6" t="n">
        <v>100.148988163975</v>
      </c>
      <c r="G32" s="6" t="n">
        <v>99.4874124492585</v>
      </c>
      <c r="H32" s="6" t="n">
        <v>99.1869960838973</v>
      </c>
      <c r="I32" s="6" t="n">
        <v>99.7887387120472</v>
      </c>
      <c r="J32" s="10" t="b">
        <v>1</v>
      </c>
    </row>
    <row r="33">
      <c r="A33" s="5" t="n">
        <v>45748</v>
      </c>
      <c r="B33" s="6" t="n">
        <v>100.535410892676</v>
      </c>
      <c r="C33" s="6" t="n">
        <v>99.6788526327125</v>
      </c>
      <c r="D33" s="6" t="n">
        <v>99.4840609813642</v>
      </c>
      <c r="E33" s="6" t="n">
        <v>99.8740256897559</v>
      </c>
      <c r="F33" s="6" t="n">
        <v>100.847697427982</v>
      </c>
      <c r="G33" s="6" t="n">
        <v>99.3389006368968</v>
      </c>
      <c r="H33" s="6" t="n">
        <v>98.9660254910303</v>
      </c>
      <c r="I33" s="6" t="n">
        <v>99.7131806676591</v>
      </c>
      <c r="J33" s="10" t="b">
        <v>1</v>
      </c>
    </row>
    <row r="34">
      <c r="A34" s="5" t="n">
        <v>45778</v>
      </c>
      <c r="B34" s="6" t="n">
        <v>100.595037425796</v>
      </c>
      <c r="C34" s="6" t="n">
        <v>99.6010385770151</v>
      </c>
      <c r="D34" s="6" t="n">
        <v>99.3591078037174</v>
      </c>
      <c r="E34" s="6" t="n">
        <v>99.8435584306736</v>
      </c>
      <c r="F34" s="6" t="n">
        <v>100.778708859175</v>
      </c>
      <c r="G34" s="6" t="n">
        <v>99.232530532322</v>
      </c>
      <c r="H34" s="6" t="n">
        <v>98.7832935403025</v>
      </c>
      <c r="I34" s="6" t="n">
        <v>99.6838105203559</v>
      </c>
      <c r="J34" s="10" t="b">
        <v>1</v>
      </c>
    </row>
    <row r="35">
      <c r="A35" s="5" t="n">
        <v>45809</v>
      </c>
      <c r="B35" s="6" t="n">
        <v>100.896353420646</v>
      </c>
      <c r="C35" s="6" t="n">
        <v>99.5212313532757</v>
      </c>
      <c r="D35" s="6" t="n">
        <v>99.2287196469349</v>
      </c>
      <c r="E35" s="6" t="n">
        <v>99.8146053412085</v>
      </c>
      <c r="F35" s="6" t="n">
        <v>100.924899600966</v>
      </c>
      <c r="G35" s="6" t="n">
        <v>99.1407172350642</v>
      </c>
      <c r="H35" s="6" t="n">
        <v>98.603382828335</v>
      </c>
      <c r="I35" s="6" t="n">
        <v>99.6809798198779</v>
      </c>
      <c r="J35" s="10" t="b">
        <v>1</v>
      </c>
    </row>
    <row r="36">
      <c r="A36" s="5" t="n">
        <v>45839</v>
      </c>
      <c r="B36" s="6" t="n">
        <v>100.878953866204</v>
      </c>
      <c r="C36" s="6" t="n">
        <v>99.4337270334523</v>
      </c>
      <c r="D36" s="6" t="n">
        <v>99.0856766853633</v>
      </c>
      <c r="E36" s="6" t="n">
        <v>99.78299995022</v>
      </c>
      <c r="F36" s="6" t="n">
        <v>100.898140214797</v>
      </c>
      <c r="G36" s="6" t="n">
        <v>98.9796921989251</v>
      </c>
      <c r="H36" s="6" t="n">
        <v>98.3536837855069</v>
      </c>
      <c r="I36" s="6" t="n">
        <v>99.6096850745271</v>
      </c>
      <c r="J36" s="10" t="b">
        <v>1</v>
      </c>
    </row>
    <row r="37">
      <c r="A37" s="5" t="n">
        <v>45870</v>
      </c>
      <c r="B37" s="6" t="n">
        <v>100.864435649337</v>
      </c>
      <c r="C37" s="6" t="n">
        <v>99.3522107026889</v>
      </c>
      <c r="D37" s="6" t="n">
        <v>98.9488558201111</v>
      </c>
      <c r="E37" s="6" t="n">
        <v>99.7572098201591</v>
      </c>
      <c r="F37" s="6" t="n">
        <v>100.995752496944</v>
      </c>
      <c r="G37" s="6" t="n">
        <v>98.8200939355163</v>
      </c>
      <c r="H37" s="6" t="n">
        <v>98.108426221614</v>
      </c>
      <c r="I37" s="6" t="n">
        <v>99.5369240086013</v>
      </c>
      <c r="J37" s="10" t="b">
        <v>1</v>
      </c>
    </row>
    <row r="38">
      <c r="A38" s="5" t="n">
        <v>45901</v>
      </c>
      <c r="B38" s="6" t="n">
        <v>101.13102921674</v>
      </c>
      <c r="C38" s="6" t="n">
        <v>99.2146257793575</v>
      </c>
      <c r="D38" s="6" t="n">
        <v>98.7541175790675</v>
      </c>
      <c r="E38" s="6" t="n">
        <v>99.6772814121569</v>
      </c>
      <c r="F38" s="6" t="n">
        <v>101.00750607098</v>
      </c>
      <c r="G38" s="6" t="n">
        <v>98.6653746094964</v>
      </c>
      <c r="H38" s="6" t="n">
        <v>97.8574200543949</v>
      </c>
      <c r="I38" s="6" t="n">
        <v>99.4799999981713</v>
      </c>
      <c r="J38" s="10" t="b">
        <v>1</v>
      </c>
    </row>
    <row r="39">
      <c r="A39" s="5" t="n">
        <v>45931</v>
      </c>
      <c r="B39" s="6" t="n">
        <v>101.075119796844</v>
      </c>
      <c r="C39" s="6" t="n">
        <v>99.0757899567138</v>
      </c>
      <c r="D39" s="6" t="n">
        <v>98.5563595703424</v>
      </c>
      <c r="E39" s="6" t="n">
        <v>99.5979579434538</v>
      </c>
      <c r="F39" s="6" t="n">
        <v>101.009753626538</v>
      </c>
      <c r="G39" s="6" t="n">
        <v>98.5301484141807</v>
      </c>
      <c r="H39" s="6" t="n">
        <v>97.613264153913</v>
      </c>
      <c r="I39" s="6" t="n">
        <v>99.4556449952637</v>
      </c>
      <c r="J39" s="10" t="b">
        <v>1</v>
      </c>
    </row>
    <row r="40">
      <c r="A40" s="5" t="n">
        <v>45962</v>
      </c>
      <c r="B40" s="6" t="n">
        <v>101.026279939687</v>
      </c>
      <c r="C40" s="6" t="n">
        <v>98.9483559684822</v>
      </c>
      <c r="D40" s="6" t="n">
        <v>98.3732873534976</v>
      </c>
      <c r="E40" s="6" t="n">
        <v>99.5267863081874</v>
      </c>
      <c r="F40" s="6" t="n">
        <v>101.037611661516</v>
      </c>
      <c r="G40" s="6" t="n">
        <v>98.4263479270924</v>
      </c>
      <c r="H40" s="6" t="n">
        <v>97.3986479158206</v>
      </c>
      <c r="I40" s="6" t="n">
        <v>99.4648916958061</v>
      </c>
      <c r="J40" s="10" t="b">
        <v>1</v>
      </c>
    </row>
    <row r="41">
      <c r="A41" s="8" t="n">
        <v>45992</v>
      </c>
      <c r="B41" s="9" t="n">
        <v>101.337375190156</v>
      </c>
      <c r="C41" s="9" t="n">
        <v>98.8130974234827</v>
      </c>
      <c r="D41" s="9" t="n">
        <v>98.1798393869983</v>
      </c>
      <c r="E41" s="9" t="n">
        <v>99.4504399618696</v>
      </c>
      <c r="F41" s="9" t="n">
        <v>101.394823798855</v>
      </c>
      <c r="G41" s="9" t="n">
        <v>98.2912442208634</v>
      </c>
      <c r="H41" s="9" t="n">
        <v>97.159478014382</v>
      </c>
      <c r="I41" s="9" t="n">
        <v>99.4361938529077</v>
      </c>
      <c r="J41" s="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91.71" hidden="0" customWidth="1"/>
    <col min="2" max="2" width="44.71" hidden="0" customWidth="1"/>
    <col min="3" max="3" width="42.71" hidden="0" customWidth="1"/>
  </cols>
  <sheetData>
    <row r="1">
      <c r="A1" s="1" t="s">
        <v>115</v>
      </c>
    </row>
    <row r="2">
      <c r="A2" s="2" t="s">
        <v>116</v>
      </c>
    </row>
    <row r="3">
      <c r="A3" s="2" t="s">
        <v>106</v>
      </c>
    </row>
    <row r="5">
      <c r="A5" s="4" t="s">
        <v>4</v>
      </c>
      <c r="B5" s="4" t="s">
        <v>117</v>
      </c>
      <c r="C5" s="4" t="s">
        <v>118</v>
      </c>
    </row>
    <row r="6">
      <c r="A6" s="5" t="n">
        <v>45627</v>
      </c>
      <c r="B6" s="6" t="n">
        <v>0</v>
      </c>
      <c r="C6" s="6" t="n">
        <v>0</v>
      </c>
    </row>
    <row r="7">
      <c r="A7" s="5" t="n">
        <v>45658</v>
      </c>
      <c r="B7" s="6" t="n">
        <v>0.108819106059932</v>
      </c>
      <c r="C7" s="6" t="n">
        <v>0.125309217530289</v>
      </c>
    </row>
    <row r="8">
      <c r="A8" s="5" t="n">
        <v>45689</v>
      </c>
      <c r="B8" s="6" t="n">
        <v>0.398052237560798</v>
      </c>
      <c r="C8" s="6" t="n">
        <v>0.299542815063214</v>
      </c>
    </row>
    <row r="9">
      <c r="A9" s="5" t="n">
        <v>45717</v>
      </c>
      <c r="B9" s="6" t="n">
        <v>0.331648231031667</v>
      </c>
      <c r="C9" s="6" t="n">
        <v>0.664984341665931</v>
      </c>
    </row>
    <row r="10">
      <c r="A10" s="5" t="n">
        <v>45748</v>
      </c>
      <c r="B10" s="6" t="n">
        <v>0.859317936894932</v>
      </c>
      <c r="C10" s="6" t="n">
        <v>1.51883781822835</v>
      </c>
    </row>
    <row r="11">
      <c r="A11" s="5" t="n">
        <v>45778</v>
      </c>
      <c r="B11" s="6" t="n">
        <v>0.997980405608678</v>
      </c>
      <c r="C11" s="6" t="n">
        <v>1.55813654913277</v>
      </c>
    </row>
    <row r="12">
      <c r="A12" s="5" t="n">
        <v>45809</v>
      </c>
      <c r="B12" s="6" t="n">
        <v>1.38173739278675</v>
      </c>
      <c r="C12" s="6" t="n">
        <v>1.79964641739674</v>
      </c>
    </row>
    <row r="13">
      <c r="A13" s="5" t="n">
        <v>45839</v>
      </c>
      <c r="B13" s="6" t="n">
        <v>1.45345736891254</v>
      </c>
      <c r="C13" s="6" t="n">
        <v>1.93822386517086</v>
      </c>
    </row>
    <row r="14">
      <c r="A14" s="5" t="n">
        <v>45870</v>
      </c>
      <c r="B14" s="6" t="n">
        <v>1.52208484939811</v>
      </c>
      <c r="C14" s="6" t="n">
        <v>2.20163579569879</v>
      </c>
    </row>
    <row r="15">
      <c r="A15" s="5" t="n">
        <v>45901</v>
      </c>
      <c r="B15" s="6" t="n">
        <v>1.93157351784485</v>
      </c>
      <c r="C15" s="6" t="n">
        <v>2.37381297213262</v>
      </c>
    </row>
    <row r="16">
      <c r="A16" s="5" t="n">
        <v>45931</v>
      </c>
      <c r="B16" s="6" t="n">
        <v>2.01798021595756</v>
      </c>
      <c r="C16" s="6" t="n">
        <v>2.51659543019647</v>
      </c>
    </row>
    <row r="17">
      <c r="A17" s="5" t="n">
        <v>45962</v>
      </c>
      <c r="B17" s="6" t="n">
        <v>2.10000858616302</v>
      </c>
      <c r="C17" s="6" t="n">
        <v>2.65301292734978</v>
      </c>
    </row>
    <row r="18">
      <c r="A18" s="8" t="n">
        <v>45992</v>
      </c>
      <c r="B18" s="9" t="n">
        <v>2.55459836043348</v>
      </c>
      <c r="C18" s="9" t="n">
        <v>3.15753412482827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39.71" hidden="0" customWidth="1"/>
    <col min="2" max="2" width="35.71" hidden="0" customWidth="1"/>
    <col min="3" max="3" width="11.71" hidden="0" customWidth="1"/>
    <col min="4" max="4" width="24.71" hidden="0" customWidth="1"/>
  </cols>
  <sheetData>
    <row r="1">
      <c r="A1" s="1" t="s">
        <v>119</v>
      </c>
    </row>
    <row r="2">
      <c r="A2" s="2" t="s">
        <v>120</v>
      </c>
    </row>
    <row r="3">
      <c r="A3" s="2" t="s">
        <v>121</v>
      </c>
    </row>
    <row r="4">
      <c r="A4" s="2" t="s">
        <v>122</v>
      </c>
    </row>
    <row r="6">
      <c r="A6" s="4" t="s">
        <v>4</v>
      </c>
      <c r="B6" s="4" t="s">
        <v>123</v>
      </c>
      <c r="C6" s="4" t="s">
        <v>124</v>
      </c>
      <c r="D6" s="4" t="s">
        <v>125</v>
      </c>
    </row>
    <row r="7">
      <c r="A7" s="5" t="n">
        <v>44927</v>
      </c>
      <c r="B7" s="6" t="n">
        <v>99.6822875297855</v>
      </c>
      <c r="C7" s="6" t="n">
        <v>98.1555371702598</v>
      </c>
      <c r="D7" s="6" t="n">
        <v>1.55543986976248</v>
      </c>
    </row>
    <row r="8">
      <c r="A8" s="5" t="n">
        <v>44958</v>
      </c>
      <c r="B8" s="6" t="n">
        <v>99.3645750595711</v>
      </c>
      <c r="C8" s="6" t="n">
        <v>98.2081894077787</v>
      </c>
      <c r="D8" s="6" t="n">
        <v>1.17748393363701</v>
      </c>
    </row>
    <row r="9">
      <c r="A9" s="5" t="n">
        <v>44986</v>
      </c>
      <c r="B9" s="6" t="n">
        <v>98.7291501191422</v>
      </c>
      <c r="C9" s="6" t="n">
        <v>98.2557462674732</v>
      </c>
      <c r="D9" s="6" t="n">
        <v>0.481807802243228</v>
      </c>
    </row>
    <row r="10">
      <c r="A10" s="5" t="n">
        <v>45017</v>
      </c>
      <c r="B10" s="6" t="n">
        <v>98.5702938840349</v>
      </c>
      <c r="C10" s="6" t="n">
        <v>98.3083985049921</v>
      </c>
      <c r="D10" s="6" t="n">
        <v>0.266401836491692</v>
      </c>
    </row>
    <row r="11">
      <c r="A11" s="5" t="n">
        <v>45047</v>
      </c>
      <c r="B11" s="6" t="n">
        <v>98.4114376489277</v>
      </c>
      <c r="C11" s="6" t="n">
        <v>98.3593522832362</v>
      </c>
      <c r="D11" s="6" t="n">
        <v>0.0529541568569769</v>
      </c>
    </row>
    <row r="12">
      <c r="A12" s="5" t="n">
        <v>45078</v>
      </c>
      <c r="B12" s="6" t="n">
        <v>98.0937251787133</v>
      </c>
      <c r="C12" s="6" t="n">
        <v>98.4120045207551</v>
      </c>
      <c r="D12" s="6" t="n">
        <v>-0.323415160164398</v>
      </c>
    </row>
    <row r="13">
      <c r="A13" s="5" t="n">
        <v>45108</v>
      </c>
      <c r="B13" s="6" t="n">
        <v>98.0937251787133</v>
      </c>
      <c r="C13" s="6" t="n">
        <v>98.4629582989992</v>
      </c>
      <c r="D13" s="6" t="n">
        <v>-0.37499698024982</v>
      </c>
    </row>
    <row r="14">
      <c r="A14" s="5" t="n">
        <v>45139</v>
      </c>
      <c r="B14" s="6" t="n">
        <v>97.934868943606</v>
      </c>
      <c r="C14" s="6" t="n">
        <v>98.5156105365181</v>
      </c>
      <c r="D14" s="6" t="n">
        <v>-0.58949194929544</v>
      </c>
    </row>
    <row r="15">
      <c r="A15" s="5" t="n">
        <v>45170</v>
      </c>
      <c r="B15" s="6" t="n">
        <v>97.7760127084988</v>
      </c>
      <c r="C15" s="6" t="n">
        <v>98.568262774037</v>
      </c>
      <c r="D15" s="6" t="n">
        <v>-0.803757764661361</v>
      </c>
    </row>
    <row r="16">
      <c r="A16" s="5" t="n">
        <v>45200</v>
      </c>
      <c r="B16" s="6" t="n">
        <v>97.537728355838</v>
      </c>
      <c r="C16" s="6" t="n">
        <v>98.619216552281</v>
      </c>
      <c r="D16" s="6" t="n">
        <v>-1.09663028591366</v>
      </c>
    </row>
    <row r="17">
      <c r="A17" s="5" t="n">
        <v>45231</v>
      </c>
      <c r="B17" s="6" t="n">
        <v>97.7760127084988</v>
      </c>
      <c r="C17" s="6" t="n">
        <v>98.6718687897999</v>
      </c>
      <c r="D17" s="6" t="n">
        <v>-0.907914375483831</v>
      </c>
    </row>
    <row r="18">
      <c r="A18" s="5" t="n">
        <v>45261</v>
      </c>
      <c r="B18" s="6" t="n">
        <v>97.7760127084988</v>
      </c>
      <c r="C18" s="6" t="n">
        <v>98.722822568044</v>
      </c>
      <c r="D18" s="6" t="n">
        <v>-0.959058741348939</v>
      </c>
    </row>
    <row r="19">
      <c r="A19" s="5" t="n">
        <v>45292</v>
      </c>
      <c r="B19" s="6" t="n">
        <v>98.4114376489277</v>
      </c>
      <c r="C19" s="6" t="n">
        <v>98.7754748055629</v>
      </c>
      <c r="D19" s="6" t="n">
        <v>-0.368550146027447</v>
      </c>
    </row>
    <row r="20">
      <c r="A20" s="5" t="n">
        <v>45323</v>
      </c>
      <c r="B20" s="6" t="n">
        <v>98.4114376489277</v>
      </c>
      <c r="C20" s="6" t="n">
        <v>98.8281270430818</v>
      </c>
      <c r="D20" s="6" t="n">
        <v>-0.421630366396053</v>
      </c>
    </row>
    <row r="21">
      <c r="A21" s="5" t="n">
        <v>45352</v>
      </c>
      <c r="B21" s="6" t="n">
        <v>98.5702938840349</v>
      </c>
      <c r="C21" s="6" t="n">
        <v>98.8773823620511</v>
      </c>
      <c r="D21" s="6" t="n">
        <v>-0.31057504828732</v>
      </c>
    </row>
    <row r="22">
      <c r="A22" s="5" t="n">
        <v>45383</v>
      </c>
      <c r="B22" s="6" t="n">
        <v>99.1262907069102</v>
      </c>
      <c r="C22" s="6" t="n">
        <v>98.93003459957</v>
      </c>
      <c r="D22" s="6" t="n">
        <v>0.198378690692458</v>
      </c>
    </row>
    <row r="23">
      <c r="A23" s="5" t="n">
        <v>45413</v>
      </c>
      <c r="B23" s="6" t="n">
        <v>98.8880063542494</v>
      </c>
      <c r="C23" s="6" t="n">
        <v>98.9809883778141</v>
      </c>
      <c r="D23" s="6" t="n">
        <v>-0.0939392757019153</v>
      </c>
    </row>
    <row r="24">
      <c r="A24" s="5" t="n">
        <v>45444</v>
      </c>
      <c r="B24" s="6" t="n">
        <v>99.1262907069102</v>
      </c>
      <c r="C24" s="6" t="n">
        <v>99.033640615333</v>
      </c>
      <c r="D24" s="6" t="n">
        <v>0.0935541609917268</v>
      </c>
    </row>
    <row r="25">
      <c r="A25" s="5" t="n">
        <v>45474</v>
      </c>
      <c r="B25" s="6" t="n">
        <v>99.2851469420175</v>
      </c>
      <c r="C25" s="6" t="n">
        <v>99.0845943935771</v>
      </c>
      <c r="D25" s="6" t="n">
        <v>0.202405378623971</v>
      </c>
    </row>
    <row r="26">
      <c r="A26" s="5" t="n">
        <v>45505</v>
      </c>
      <c r="B26" s="6" t="n">
        <v>99.2851469420175</v>
      </c>
      <c r="C26" s="6" t="n">
        <v>99.137246631096</v>
      </c>
      <c r="D26" s="6" t="n">
        <v>0.149187430504116</v>
      </c>
    </row>
    <row r="27">
      <c r="A27" s="5" t="n">
        <v>45536</v>
      </c>
      <c r="B27" s="6" t="n">
        <v>99.5234312946783</v>
      </c>
      <c r="C27" s="6" t="n">
        <v>99.1898988686149</v>
      </c>
      <c r="D27" s="6" t="n">
        <v>0.336256443315075</v>
      </c>
    </row>
    <row r="28">
      <c r="A28" s="5" t="n">
        <v>45566</v>
      </c>
      <c r="B28" s="6" t="n">
        <v>99.7617156473391</v>
      </c>
      <c r="C28" s="6" t="n">
        <v>99.240852646859</v>
      </c>
      <c r="D28" s="6" t="n">
        <v>0.524847365362335</v>
      </c>
    </row>
    <row r="29">
      <c r="A29" s="5" t="n">
        <v>45597</v>
      </c>
      <c r="B29" s="6" t="n">
        <v>99.8411437648928</v>
      </c>
      <c r="C29" s="6" t="n">
        <v>99.2935048843779</v>
      </c>
      <c r="D29" s="6" t="n">
        <v>0.551535451540919</v>
      </c>
    </row>
    <row r="30">
      <c r="A30" s="5" t="n">
        <v>45627</v>
      </c>
      <c r="B30" s="6" t="n">
        <v>100</v>
      </c>
      <c r="C30" s="6" t="n">
        <v>99.344458662622</v>
      </c>
      <c r="D30" s="6" t="n">
        <v>0.659867038587691</v>
      </c>
    </row>
    <row r="31">
      <c r="A31" s="5" t="n">
        <v>45658</v>
      </c>
      <c r="B31" s="6" t="n">
        <v>100.079428117554</v>
      </c>
      <c r="C31" s="6" t="n">
        <v>99.3971109001409</v>
      </c>
      <c r="D31" s="6" t="n">
        <v>0.686455784512918</v>
      </c>
    </row>
    <row r="32">
      <c r="A32" s="5" t="n">
        <v>45689</v>
      </c>
      <c r="B32" s="6" t="n">
        <v>100.238284352661</v>
      </c>
      <c r="C32" s="6" t="n">
        <v>99.4497631376598</v>
      </c>
      <c r="D32" s="6" t="n">
        <v>0.792883954795931</v>
      </c>
    </row>
    <row r="33">
      <c r="A33" s="5" t="n">
        <v>45717</v>
      </c>
      <c r="B33" s="6" t="n">
        <v>100.079428117554</v>
      </c>
      <c r="C33" s="6" t="n">
        <v>99.4973199973543</v>
      </c>
      <c r="D33" s="6" t="n">
        <v>0.585049044752983</v>
      </c>
    </row>
    <row r="34">
      <c r="A34" s="5" t="n">
        <v>45748</v>
      </c>
      <c r="B34" s="6" t="n">
        <v>100.317712470214</v>
      </c>
      <c r="C34" s="6" t="n">
        <v>99.5499722348732</v>
      </c>
      <c r="D34" s="6" t="n">
        <v>0.771210898512265</v>
      </c>
    </row>
    <row r="35">
      <c r="A35" s="5" t="n">
        <v>45778</v>
      </c>
      <c r="B35" s="6" t="n">
        <v>100.158856235107</v>
      </c>
      <c r="C35" s="6" t="n">
        <v>99.6009260131173</v>
      </c>
      <c r="D35" s="6" t="n">
        <v>0.560165697572423</v>
      </c>
    </row>
    <row r="36">
      <c r="A36" s="5" t="n">
        <v>45809</v>
      </c>
      <c r="B36" s="6" t="n">
        <v>99.9205718824464</v>
      </c>
      <c r="C36" s="6" t="n">
        <v>99.6535782506362</v>
      </c>
      <c r="D36" s="6" t="n">
        <v>0.267921771096558</v>
      </c>
    </row>
    <row r="37">
      <c r="A37" s="5" t="n">
        <v>45839</v>
      </c>
      <c r="B37" s="6" t="n">
        <v>100</v>
      </c>
      <c r="C37" s="6" t="n">
        <v>99.7045320288803</v>
      </c>
      <c r="D37" s="6" t="n">
        <v>0.296343571457869</v>
      </c>
    </row>
    <row r="38">
      <c r="A38" s="5" t="n">
        <v>45870</v>
      </c>
      <c r="B38" s="6" t="n">
        <v>99.9205718824464</v>
      </c>
      <c r="C38" s="6" t="n">
        <v>99.7571842663992</v>
      </c>
      <c r="D38" s="6" t="n">
        <v>0.163785312555409</v>
      </c>
    </row>
    <row r="39">
      <c r="A39" s="5" t="n">
        <v>45901</v>
      </c>
      <c r="B39" s="6" t="n">
        <v>99.9205718824464</v>
      </c>
      <c r="C39" s="6" t="n">
        <v>99.809836503918</v>
      </c>
      <c r="D39" s="6" t="n">
        <v>0.110946358001462</v>
      </c>
    </row>
    <row r="40">
      <c r="A40" s="5" t="n">
        <v>45931</v>
      </c>
      <c r="B40" s="6" t="n">
        <v>100.238284352661</v>
      </c>
      <c r="C40" s="6" t="n">
        <v>99.8607902821622</v>
      </c>
      <c r="D40" s="6" t="n">
        <v>0.378020311507687</v>
      </c>
    </row>
    <row r="41">
      <c r="A41" s="5" t="n">
        <v>45962</v>
      </c>
      <c r="B41" s="6" t="n">
        <v>100.555996822875</v>
      </c>
      <c r="C41" s="6" t="n">
        <v>99.913442519681</v>
      </c>
      <c r="D41" s="6" t="n">
        <v>0.643110963840199</v>
      </c>
    </row>
    <row r="42">
      <c r="A42" s="8" t="n">
        <v>45992</v>
      </c>
      <c r="B42" s="9" t="n">
        <v>100.953137410643</v>
      </c>
      <c r="C42" s="9" t="n">
        <v>99.9643962979251</v>
      </c>
      <c r="D42" s="9" t="n">
        <v>0.989093266538066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2.71" hidden="0" customWidth="1"/>
    <col min="2" max="2" width="33.71" hidden="0" customWidth="1"/>
    <col min="3" max="3" width="11.71" hidden="0" customWidth="1"/>
    <col min="4" max="4" width="24.71" hidden="0" customWidth="1"/>
  </cols>
  <sheetData>
    <row r="1">
      <c r="A1" s="1" t="s">
        <v>126</v>
      </c>
    </row>
    <row r="2">
      <c r="A2" s="2" t="s">
        <v>127</v>
      </c>
    </row>
    <row r="3">
      <c r="A3" s="2" t="s">
        <v>128</v>
      </c>
    </row>
    <row r="5">
      <c r="A5" s="4" t="s">
        <v>4</v>
      </c>
      <c r="B5" s="4" t="s">
        <v>129</v>
      </c>
      <c r="C5" s="4" t="s">
        <v>124</v>
      </c>
      <c r="D5" s="4" t="s">
        <v>125</v>
      </c>
    </row>
    <row r="6">
      <c r="A6" s="5" t="n">
        <v>44927</v>
      </c>
      <c r="B6" s="6" t="n">
        <v>99.9779164132285</v>
      </c>
      <c r="C6" s="6" t="n">
        <v>100.234556485889</v>
      </c>
      <c r="D6" s="6" t="n">
        <v>-0.256039515370743</v>
      </c>
    </row>
    <row r="7">
      <c r="A7" s="5" t="n">
        <v>44958</v>
      </c>
      <c r="B7" s="6" t="n">
        <v>100.036929745838</v>
      </c>
      <c r="C7" s="6" t="n">
        <v>100.236901680715</v>
      </c>
      <c r="D7" s="6" t="n">
        <v>-0.199499317640361</v>
      </c>
    </row>
    <row r="8">
      <c r="A8" s="5" t="n">
        <v>44986</v>
      </c>
      <c r="B8" s="6" t="n">
        <v>100.023411816636</v>
      </c>
      <c r="C8" s="6" t="n">
        <v>100.239019921203</v>
      </c>
      <c r="D8" s="6" t="n">
        <v>-0.215093987089165</v>
      </c>
    </row>
    <row r="9">
      <c r="A9" s="5" t="n">
        <v>45017</v>
      </c>
      <c r="B9" s="6" t="n">
        <v>100.11116406403</v>
      </c>
      <c r="C9" s="6" t="n">
        <v>100.241365116029</v>
      </c>
      <c r="D9" s="6" t="n">
        <v>-0.12988754876655</v>
      </c>
    </row>
    <row r="10">
      <c r="A10" s="5" t="n">
        <v>45047</v>
      </c>
      <c r="B10" s="6" t="n">
        <v>100.127207973884</v>
      </c>
      <c r="C10" s="6" t="n">
        <v>100.243634659409</v>
      </c>
      <c r="D10" s="6" t="n">
        <v>-0.116143719171058</v>
      </c>
    </row>
    <row r="11">
      <c r="A11" s="5" t="n">
        <v>45078</v>
      </c>
      <c r="B11" s="6" t="n">
        <v>100.270493162611</v>
      </c>
      <c r="C11" s="6" t="n">
        <v>100.245979854235</v>
      </c>
      <c r="D11" s="6" t="n">
        <v>0.0244531585315455</v>
      </c>
    </row>
    <row r="12">
      <c r="A12" s="5" t="n">
        <v>45108</v>
      </c>
      <c r="B12" s="6" t="n">
        <v>100.273192294655</v>
      </c>
      <c r="C12" s="6" t="n">
        <v>100.248249397615</v>
      </c>
      <c r="D12" s="6" t="n">
        <v>0.0248811297847373</v>
      </c>
    </row>
    <row r="13">
      <c r="A13" s="5" t="n">
        <v>45139</v>
      </c>
      <c r="B13" s="6" t="n">
        <v>100.373611002875</v>
      </c>
      <c r="C13" s="6" t="n">
        <v>100.250594592441</v>
      </c>
      <c r="D13" s="6" t="n">
        <v>0.122708908544689</v>
      </c>
    </row>
    <row r="14">
      <c r="A14" s="5" t="n">
        <v>45170</v>
      </c>
      <c r="B14" s="6" t="n">
        <v>100.431679379832</v>
      </c>
      <c r="C14" s="6" t="n">
        <v>100.252939787267</v>
      </c>
      <c r="D14" s="6" t="n">
        <v>0.178288629683898</v>
      </c>
    </row>
    <row r="15">
      <c r="A15" s="5" t="n">
        <v>45200</v>
      </c>
      <c r="B15" s="6" t="n">
        <v>100.304967898637</v>
      </c>
      <c r="C15" s="6" t="n">
        <v>100.255209330648</v>
      </c>
      <c r="D15" s="6" t="n">
        <v>0.0496319027426528</v>
      </c>
    </row>
    <row r="16">
      <c r="A16" s="5" t="n">
        <v>45231</v>
      </c>
      <c r="B16" s="6" t="n">
        <v>100.456676454201</v>
      </c>
      <c r="C16" s="6" t="n">
        <v>100.257554525474</v>
      </c>
      <c r="D16" s="6" t="n">
        <v>0.198610398657295</v>
      </c>
    </row>
    <row r="17">
      <c r="A17" s="5" t="n">
        <v>45261</v>
      </c>
      <c r="B17" s="6" t="n">
        <v>100.505622041725</v>
      </c>
      <c r="C17" s="6" t="n">
        <v>100.259824068854</v>
      </c>
      <c r="D17" s="6" t="n">
        <v>0.245160985623083</v>
      </c>
    </row>
    <row r="18">
      <c r="A18" s="5" t="n">
        <v>45292</v>
      </c>
      <c r="B18" s="6" t="n">
        <v>100.452971935306</v>
      </c>
      <c r="C18" s="6" t="n">
        <v>100.26216926368</v>
      </c>
      <c r="D18" s="6" t="n">
        <v>0.190303753676413</v>
      </c>
    </row>
    <row r="19">
      <c r="A19" s="5" t="n">
        <v>45323</v>
      </c>
      <c r="B19" s="6" t="n">
        <v>100.426475188889</v>
      </c>
      <c r="C19" s="6" t="n">
        <v>100.264514458506</v>
      </c>
      <c r="D19" s="6" t="n">
        <v>0.161533451050055</v>
      </c>
    </row>
    <row r="20">
      <c r="A20" s="5" t="n">
        <v>45352</v>
      </c>
      <c r="B20" s="6" t="n">
        <v>100.419093000354</v>
      </c>
      <c r="C20" s="6" t="n">
        <v>100.26670835044</v>
      </c>
      <c r="D20" s="6" t="n">
        <v>0.151979308407668</v>
      </c>
    </row>
    <row r="21">
      <c r="A21" s="5" t="n">
        <v>45383</v>
      </c>
      <c r="B21" s="6" t="n">
        <v>100.479238339088</v>
      </c>
      <c r="C21" s="6" t="n">
        <v>100.269053545266</v>
      </c>
      <c r="D21" s="6" t="n">
        <v>0.209620801623323</v>
      </c>
    </row>
    <row r="22">
      <c r="A22" s="5" t="n">
        <v>45413</v>
      </c>
      <c r="B22" s="6" t="n">
        <v>100.461171720553</v>
      </c>
      <c r="C22" s="6" t="n">
        <v>100.271323088646</v>
      </c>
      <c r="D22" s="6" t="n">
        <v>0.189334922547402</v>
      </c>
    </row>
    <row r="23">
      <c r="A23" s="5" t="n">
        <v>45444</v>
      </c>
      <c r="B23" s="6" t="n">
        <v>100.418652853807</v>
      </c>
      <c r="C23" s="6" t="n">
        <v>100.273668283472</v>
      </c>
      <c r="D23" s="6" t="n">
        <v>0.144588876438756</v>
      </c>
    </row>
    <row r="24">
      <c r="A24" s="5" t="n">
        <v>45474</v>
      </c>
      <c r="B24" s="6" t="n">
        <v>100.385717628962</v>
      </c>
      <c r="C24" s="6" t="n">
        <v>100.275937826852</v>
      </c>
      <c r="D24" s="6" t="n">
        <v>0.109477711691097</v>
      </c>
    </row>
    <row r="25">
      <c r="A25" s="5" t="n">
        <v>45505</v>
      </c>
      <c r="B25" s="6" t="n">
        <v>100.194151604928</v>
      </c>
      <c r="C25" s="6" t="n">
        <v>100.278283021678</v>
      </c>
      <c r="D25" s="6" t="n">
        <v>-0.0838979430190512</v>
      </c>
    </row>
    <row r="26">
      <c r="A26" s="5" t="n">
        <v>45536</v>
      </c>
      <c r="B26" s="6" t="n">
        <v>100.186574849697</v>
      </c>
      <c r="C26" s="6" t="n">
        <v>100.280628216504</v>
      </c>
      <c r="D26" s="6" t="n">
        <v>-0.0937901651391848</v>
      </c>
    </row>
    <row r="27">
      <c r="A27" s="5" t="n">
        <v>45566</v>
      </c>
      <c r="B27" s="6" t="n">
        <v>99.8817196846808</v>
      </c>
      <c r="C27" s="6" t="n">
        <v>100.282897759884</v>
      </c>
      <c r="D27" s="6" t="n">
        <v>-0.400046353032191</v>
      </c>
    </row>
    <row r="28">
      <c r="A28" s="5" t="n">
        <v>45597</v>
      </c>
      <c r="B28" s="6" t="n">
        <v>100.065129633092</v>
      </c>
      <c r="C28" s="6" t="n">
        <v>100.28524295471</v>
      </c>
      <c r="D28" s="6" t="n">
        <v>-0.219487249701822</v>
      </c>
    </row>
    <row r="29">
      <c r="A29" s="5" t="n">
        <v>45627</v>
      </c>
      <c r="B29" s="6" t="n">
        <v>100</v>
      </c>
      <c r="C29" s="6" t="n">
        <v>100.28751249809</v>
      </c>
      <c r="D29" s="6" t="n">
        <v>-0.286688233588206</v>
      </c>
    </row>
    <row r="30">
      <c r="A30" s="5" t="n">
        <v>45658</v>
      </c>
      <c r="B30" s="6" t="n">
        <v>99.7592491839363</v>
      </c>
      <c r="C30" s="6" t="n">
        <v>100.289857692916</v>
      </c>
      <c r="D30" s="6" t="n">
        <v>-0.529074944552022</v>
      </c>
    </row>
    <row r="31">
      <c r="A31" s="5" t="n">
        <v>45689</v>
      </c>
      <c r="B31" s="6" t="n">
        <v>99.8082166498581</v>
      </c>
      <c r="C31" s="6" t="n">
        <v>100.292202887742</v>
      </c>
      <c r="D31" s="6" t="n">
        <v>-0.482576136477997</v>
      </c>
    </row>
    <row r="32">
      <c r="A32" s="5" t="n">
        <v>45717</v>
      </c>
      <c r="B32" s="6" t="n">
        <v>99.8067115743737</v>
      </c>
      <c r="C32" s="6" t="n">
        <v>100.29432112823</v>
      </c>
      <c r="D32" s="6" t="n">
        <v>-0.486178627435319</v>
      </c>
    </row>
    <row r="33">
      <c r="A33" s="5" t="n">
        <v>45748</v>
      </c>
      <c r="B33" s="6" t="n">
        <v>99.8889287534598</v>
      </c>
      <c r="C33" s="6" t="n">
        <v>100.296666323057</v>
      </c>
      <c r="D33" s="6" t="n">
        <v>-0.406531527462151</v>
      </c>
    </row>
    <row r="34">
      <c r="A34" s="5" t="n">
        <v>45778</v>
      </c>
      <c r="B34" s="6" t="n">
        <v>99.8478157382411</v>
      </c>
      <c r="C34" s="6" t="n">
        <v>100.298935866437</v>
      </c>
      <c r="D34" s="6" t="n">
        <v>-0.449775587645551</v>
      </c>
    </row>
    <row r="35">
      <c r="A35" s="5" t="n">
        <v>45809</v>
      </c>
      <c r="B35" s="6" t="n">
        <v>99.7882607379367</v>
      </c>
      <c r="C35" s="6" t="n">
        <v>100.301281061263</v>
      </c>
      <c r="D35" s="6" t="n">
        <v>-0.51147933296346</v>
      </c>
    </row>
    <row r="36">
      <c r="A36" s="5" t="n">
        <v>45839</v>
      </c>
      <c r="B36" s="6" t="n">
        <v>99.7424512641067</v>
      </c>
      <c r="C36" s="6" t="n">
        <v>100.303550604643</v>
      </c>
      <c r="D36" s="6" t="n">
        <v>-0.55940127458467</v>
      </c>
    </row>
    <row r="37">
      <c r="A37" s="5" t="n">
        <v>45870</v>
      </c>
      <c r="B37" s="6" t="n">
        <v>99.6544680946629</v>
      </c>
      <c r="C37" s="6" t="n">
        <v>100.305895799469</v>
      </c>
      <c r="D37" s="6" t="n">
        <v>-0.649441091786074</v>
      </c>
    </row>
    <row r="38">
      <c r="A38" s="5" t="n">
        <v>45901</v>
      </c>
      <c r="B38" s="6" t="n">
        <v>99.6687423220202</v>
      </c>
      <c r="C38" s="6" t="n">
        <v>100.308240994295</v>
      </c>
      <c r="D38" s="6" t="n">
        <v>-0.637533532574808</v>
      </c>
    </row>
    <row r="39">
      <c r="A39" s="5" t="n">
        <v>45931</v>
      </c>
      <c r="B39" s="6" t="n">
        <v>99.6643127751522</v>
      </c>
      <c r="C39" s="6" t="n">
        <v>100.310510537675</v>
      </c>
      <c r="D39" s="6" t="n">
        <v>-0.644197461521179</v>
      </c>
    </row>
    <row r="40">
      <c r="A40" s="5" t="n">
        <v>45962</v>
      </c>
      <c r="B40" s="6" t="n">
        <v>99.6631849629043</v>
      </c>
      <c r="C40" s="6" t="n">
        <v>100.312855732501</v>
      </c>
      <c r="D40" s="6" t="n">
        <v>-0.647644576413087</v>
      </c>
    </row>
    <row r="41">
      <c r="A41" s="5" t="n">
        <v>45992</v>
      </c>
      <c r="B41" s="6" t="n">
        <v>99.6434295457688</v>
      </c>
      <c r="C41" s="6" t="n">
        <v>100.315125275881</v>
      </c>
      <c r="D41" s="6" t="n">
        <v>-0.669585696339337</v>
      </c>
    </row>
    <row r="42">
      <c r="A42" s="8" t="n">
        <v>46023</v>
      </c>
      <c r="B42" s="9" t="n">
        <v>99.5244058797855</v>
      </c>
      <c r="C42" s="9" t="n">
        <v>100.317470470707</v>
      </c>
      <c r="D42" s="9" t="n">
        <v>-0.790554812836042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12.71" hidden="0" customWidth="1"/>
    <col min="2" max="2" width="47.71" hidden="0" customWidth="1"/>
    <col min="3" max="3" width="11.71" hidden="0" customWidth="1"/>
    <col min="4" max="4" width="24.71" hidden="0" customWidth="1"/>
  </cols>
  <sheetData>
    <row r="1">
      <c r="A1" s="1" t="s">
        <v>130</v>
      </c>
    </row>
    <row r="2">
      <c r="A2" s="2" t="s">
        <v>127</v>
      </c>
    </row>
    <row r="3">
      <c r="A3" s="2" t="s">
        <v>128</v>
      </c>
    </row>
    <row r="5">
      <c r="A5" s="4" t="s">
        <v>4</v>
      </c>
      <c r="B5" s="4" t="s">
        <v>131</v>
      </c>
      <c r="C5" s="4" t="s">
        <v>124</v>
      </c>
      <c r="D5" s="4" t="s">
        <v>125</v>
      </c>
    </row>
    <row r="6">
      <c r="A6" s="5" t="n">
        <v>44927</v>
      </c>
      <c r="B6" s="6" t="n">
        <v>101.975907993689</v>
      </c>
      <c r="C6" s="6" t="n">
        <v>102.221441072174</v>
      </c>
      <c r="D6" s="6" t="n">
        <v>-0.24019723837756</v>
      </c>
    </row>
    <row r="7">
      <c r="A7" s="5" t="n">
        <v>44958</v>
      </c>
      <c r="B7" s="6" t="n">
        <v>101.890646715014</v>
      </c>
      <c r="C7" s="6" t="n">
        <v>102.141689170622</v>
      </c>
      <c r="D7" s="6" t="n">
        <v>-0.245778641068872</v>
      </c>
    </row>
    <row r="8">
      <c r="A8" s="5" t="n">
        <v>44986</v>
      </c>
      <c r="B8" s="6" t="n">
        <v>101.860071986868</v>
      </c>
      <c r="C8" s="6" t="n">
        <v>102.069655195026</v>
      </c>
      <c r="D8" s="6" t="n">
        <v>-0.2053335124513</v>
      </c>
    </row>
    <row r="9">
      <c r="A9" s="5" t="n">
        <v>45017</v>
      </c>
      <c r="B9" s="6" t="n">
        <v>101.820535800949</v>
      </c>
      <c r="C9" s="6" t="n">
        <v>101.989903293474</v>
      </c>
      <c r="D9" s="6" t="n">
        <v>-0.166062999430294</v>
      </c>
    </row>
    <row r="10">
      <c r="A10" s="5" t="n">
        <v>45047</v>
      </c>
      <c r="B10" s="6" t="n">
        <v>101.700845049265</v>
      </c>
      <c r="C10" s="6" t="n">
        <v>101.912724033908</v>
      </c>
      <c r="D10" s="6" t="n">
        <v>-0.207902385743342</v>
      </c>
    </row>
    <row r="11">
      <c r="A11" s="5" t="n">
        <v>45078</v>
      </c>
      <c r="B11" s="6" t="n">
        <v>101.78553588737</v>
      </c>
      <c r="C11" s="6" t="n">
        <v>101.832972132355</v>
      </c>
      <c r="D11" s="6" t="n">
        <v>-0.0465824025285499</v>
      </c>
    </row>
    <row r="12">
      <c r="A12" s="5" t="n">
        <v>45108</v>
      </c>
      <c r="B12" s="6" t="n">
        <v>101.71065428921</v>
      </c>
      <c r="C12" s="6" t="n">
        <v>101.755792872789</v>
      </c>
      <c r="D12" s="6" t="n">
        <v>-0.0443597187975375</v>
      </c>
    </row>
    <row r="13">
      <c r="A13" s="5" t="n">
        <v>45139</v>
      </c>
      <c r="B13" s="6" t="n">
        <v>101.75453442914</v>
      </c>
      <c r="C13" s="6" t="n">
        <v>101.676040971236</v>
      </c>
      <c r="D13" s="6" t="n">
        <v>0.0771995616217325</v>
      </c>
    </row>
    <row r="14">
      <c r="A14" s="5" t="n">
        <v>45170</v>
      </c>
      <c r="B14" s="6" t="n">
        <v>101.802333195414</v>
      </c>
      <c r="C14" s="6" t="n">
        <v>101.596289069684</v>
      </c>
      <c r="D14" s="6" t="n">
        <v>0.202806743845452</v>
      </c>
    </row>
    <row r="15">
      <c r="A15" s="5" t="n">
        <v>45200</v>
      </c>
      <c r="B15" s="6" t="n">
        <v>101.403830662819</v>
      </c>
      <c r="C15" s="6" t="n">
        <v>101.519109810117</v>
      </c>
      <c r="D15" s="6" t="n">
        <v>-0.113554135289406</v>
      </c>
    </row>
    <row r="16">
      <c r="A16" s="5" t="n">
        <v>45231</v>
      </c>
      <c r="B16" s="6" t="n">
        <v>101.648564918326</v>
      </c>
      <c r="C16" s="6" t="n">
        <v>101.439357908565</v>
      </c>
      <c r="D16" s="6" t="n">
        <v>0.206238499606615</v>
      </c>
    </row>
    <row r="17">
      <c r="A17" s="5" t="n">
        <v>45261</v>
      </c>
      <c r="B17" s="6" t="n">
        <v>101.744655325218</v>
      </c>
      <c r="C17" s="6" t="n">
        <v>101.362178648999</v>
      </c>
      <c r="D17" s="6" t="n">
        <v>0.377336676576046</v>
      </c>
    </row>
    <row r="18">
      <c r="A18" s="5" t="n">
        <v>45292</v>
      </c>
      <c r="B18" s="6" t="n">
        <v>101.718206633141</v>
      </c>
      <c r="C18" s="6" t="n">
        <v>101.282426747446</v>
      </c>
      <c r="D18" s="6" t="n">
        <v>0.430262089573663</v>
      </c>
    </row>
    <row r="19">
      <c r="A19" s="5" t="n">
        <v>45323</v>
      </c>
      <c r="B19" s="6" t="n">
        <v>101.524599455771</v>
      </c>
      <c r="C19" s="6" t="n">
        <v>101.202674845894</v>
      </c>
      <c r="D19" s="6" t="n">
        <v>0.318098914250631</v>
      </c>
    </row>
    <row r="20">
      <c r="A20" s="5" t="n">
        <v>45352</v>
      </c>
      <c r="B20" s="6" t="n">
        <v>101.356168963816</v>
      </c>
      <c r="C20" s="6" t="n">
        <v>101.128068228313</v>
      </c>
      <c r="D20" s="6" t="n">
        <v>0.225556306472918</v>
      </c>
    </row>
    <row r="21">
      <c r="A21" s="5" t="n">
        <v>45383</v>
      </c>
      <c r="B21" s="6" t="n">
        <v>101.349715168125</v>
      </c>
      <c r="C21" s="6" t="n">
        <v>101.048316326761</v>
      </c>
      <c r="D21" s="6" t="n">
        <v>0.298272007214129</v>
      </c>
    </row>
    <row r="22">
      <c r="A22" s="5" t="n">
        <v>45413</v>
      </c>
      <c r="B22" s="6" t="n">
        <v>101.268780101682</v>
      </c>
      <c r="C22" s="6" t="n">
        <v>100.971137067194</v>
      </c>
      <c r="D22" s="6" t="n">
        <v>0.294780313596155</v>
      </c>
    </row>
    <row r="23">
      <c r="A23" s="5" t="n">
        <v>45444</v>
      </c>
      <c r="B23" s="6" t="n">
        <v>101.101929354924</v>
      </c>
      <c r="C23" s="6" t="n">
        <v>100.891385165642</v>
      </c>
      <c r="D23" s="6" t="n">
        <v>0.208684010965832</v>
      </c>
    </row>
    <row r="24">
      <c r="A24" s="5" t="n">
        <v>45474</v>
      </c>
      <c r="B24" s="6" t="n">
        <v>101.019454185154</v>
      </c>
      <c r="C24" s="6" t="n">
        <v>100.814205906075</v>
      </c>
      <c r="D24" s="6" t="n">
        <v>0.203590632128248</v>
      </c>
    </row>
    <row r="25">
      <c r="A25" s="5" t="n">
        <v>45505</v>
      </c>
      <c r="B25" s="6" t="n">
        <v>100.646656309727</v>
      </c>
      <c r="C25" s="6" t="n">
        <v>100.734454004523</v>
      </c>
      <c r="D25" s="6" t="n">
        <v>-0.0871575625868148</v>
      </c>
    </row>
    <row r="26">
      <c r="A26" s="5" t="n">
        <v>45536</v>
      </c>
      <c r="B26" s="6" t="n">
        <v>100.539173355552</v>
      </c>
      <c r="C26" s="6" t="n">
        <v>100.654702102971</v>
      </c>
      <c r="D26" s="6" t="n">
        <v>-0.114777298034385</v>
      </c>
    </row>
    <row r="27">
      <c r="A27" s="5" t="n">
        <v>45566</v>
      </c>
      <c r="B27" s="6" t="n">
        <v>99.9313285803689</v>
      </c>
      <c r="C27" s="6" t="n">
        <v>100.577522843404</v>
      </c>
      <c r="D27" s="6" t="n">
        <v>-0.64248377248366</v>
      </c>
    </row>
    <row r="28">
      <c r="A28" s="5" t="n">
        <v>45597</v>
      </c>
      <c r="B28" s="6" t="n">
        <v>100.186281679762</v>
      </c>
      <c r="C28" s="6" t="n">
        <v>100.497770941852</v>
      </c>
      <c r="D28" s="6" t="n">
        <v>-0.309946438781705</v>
      </c>
    </row>
    <row r="29">
      <c r="A29" s="5" t="n">
        <v>45627</v>
      </c>
      <c r="B29" s="6" t="n">
        <v>100</v>
      </c>
      <c r="C29" s="6" t="n">
        <v>100.420591682285</v>
      </c>
      <c r="D29" s="6" t="n">
        <v>-0.418830117647184</v>
      </c>
    </row>
    <row r="30">
      <c r="A30" s="5" t="n">
        <v>45658</v>
      </c>
      <c r="B30" s="6" t="n">
        <v>99.8146492880884</v>
      </c>
      <c r="C30" s="6" t="n">
        <v>100.340839780733</v>
      </c>
      <c r="D30" s="6" t="n">
        <v>-0.524403118205974</v>
      </c>
    </row>
    <row r="31">
      <c r="A31" s="5" t="n">
        <v>45689</v>
      </c>
      <c r="B31" s="6" t="n">
        <v>99.8179046115021</v>
      </c>
      <c r="C31" s="6" t="n">
        <v>100.26108787918</v>
      </c>
      <c r="D31" s="6" t="n">
        <v>-0.442029183058912</v>
      </c>
    </row>
    <row r="32">
      <c r="A32" s="5" t="n">
        <v>45717</v>
      </c>
      <c r="B32" s="6" t="n">
        <v>99.7644666402592</v>
      </c>
      <c r="C32" s="6" t="n">
        <v>100.189053903585</v>
      </c>
      <c r="D32" s="6" t="n">
        <v>-0.423786079200061</v>
      </c>
    </row>
    <row r="33">
      <c r="A33" s="5" t="n">
        <v>45748</v>
      </c>
      <c r="B33" s="6" t="n">
        <v>99.7362896741851</v>
      </c>
      <c r="C33" s="6" t="n">
        <v>100.109302002033</v>
      </c>
      <c r="D33" s="6" t="n">
        <v>-0.372605063053943</v>
      </c>
    </row>
    <row r="34">
      <c r="A34" s="5" t="n">
        <v>45778</v>
      </c>
      <c r="B34" s="6" t="n">
        <v>99.629339633489</v>
      </c>
      <c r="C34" s="6" t="n">
        <v>100.032122742466</v>
      </c>
      <c r="D34" s="6" t="n">
        <v>-0.402653765544725</v>
      </c>
    </row>
    <row r="35">
      <c r="A35" s="5" t="n">
        <v>45809</v>
      </c>
      <c r="B35" s="6" t="n">
        <v>99.5199744471928</v>
      </c>
      <c r="C35" s="6" t="n">
        <v>99.9523708409137</v>
      </c>
      <c r="D35" s="6" t="n">
        <v>-0.432602438624596</v>
      </c>
    </row>
    <row r="36">
      <c r="A36" s="5" t="n">
        <v>45839</v>
      </c>
      <c r="B36" s="6" t="n">
        <v>99.4339691892635</v>
      </c>
      <c r="C36" s="6" t="n">
        <v>99.875191581347</v>
      </c>
      <c r="D36" s="6" t="n">
        <v>-0.44177376293103</v>
      </c>
    </row>
    <row r="37">
      <c r="A37" s="5" t="n">
        <v>45870</v>
      </c>
      <c r="B37" s="6" t="n">
        <v>99.3082596052685</v>
      </c>
      <c r="C37" s="6" t="n">
        <v>99.7954396797947</v>
      </c>
      <c r="D37" s="6" t="n">
        <v>-0.488178694426755</v>
      </c>
    </row>
    <row r="38">
      <c r="A38" s="5" t="n">
        <v>45901</v>
      </c>
      <c r="B38" s="6" t="n">
        <v>99.2938469319734</v>
      </c>
      <c r="C38" s="6" t="n">
        <v>99.7156877782425</v>
      </c>
      <c r="D38" s="6" t="n">
        <v>-0.423043610958407</v>
      </c>
    </row>
    <row r="39">
      <c r="A39" s="5" t="n">
        <v>45931</v>
      </c>
      <c r="B39" s="6" t="n">
        <v>99.2278590387136</v>
      </c>
      <c r="C39" s="6" t="n">
        <v>99.6385085186758</v>
      </c>
      <c r="D39" s="6" t="n">
        <v>-0.412139328525951</v>
      </c>
    </row>
    <row r="40">
      <c r="A40" s="5" t="n">
        <v>45962</v>
      </c>
      <c r="B40" s="6" t="n">
        <v>99.1712739693549</v>
      </c>
      <c r="C40" s="6" t="n">
        <v>99.5587566171235</v>
      </c>
      <c r="D40" s="6" t="n">
        <v>-0.389199966868625</v>
      </c>
    </row>
    <row r="41">
      <c r="A41" s="5" t="n">
        <v>45992</v>
      </c>
      <c r="B41" s="6" t="n">
        <v>99.1269324281191</v>
      </c>
      <c r="C41" s="6" t="n">
        <v>99.4815773575569</v>
      </c>
      <c r="D41" s="6" t="n">
        <v>-0.3564930702326</v>
      </c>
    </row>
    <row r="42">
      <c r="A42" s="8" t="n">
        <v>46023</v>
      </c>
      <c r="B42" s="9" t="n">
        <v>99.1758731353039</v>
      </c>
      <c r="C42" s="9" t="n">
        <v>99.4018254560046</v>
      </c>
      <c r="D42" s="9" t="n">
        <v>-0.227312043480266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70.71" hidden="0" customWidth="1"/>
    <col min="2" max="2" width="44.71" hidden="0" customWidth="1"/>
    <col min="3" max="3" width="11.71" hidden="0" customWidth="1"/>
    <col min="4" max="4" width="24.71" hidden="0" customWidth="1"/>
  </cols>
  <sheetData>
    <row r="1">
      <c r="A1" s="1" t="s">
        <v>132</v>
      </c>
    </row>
    <row r="2">
      <c r="A2" s="2" t="s">
        <v>133</v>
      </c>
    </row>
    <row r="3">
      <c r="A3" s="2" t="s">
        <v>134</v>
      </c>
    </row>
    <row r="5">
      <c r="A5" s="4" t="s">
        <v>4</v>
      </c>
      <c r="B5" s="4" t="s">
        <v>135</v>
      </c>
      <c r="C5" s="4" t="s">
        <v>124</v>
      </c>
      <c r="D5" s="4" t="s">
        <v>125</v>
      </c>
    </row>
    <row r="6">
      <c r="A6" s="5" t="n">
        <v>44197</v>
      </c>
      <c r="B6" s="6" t="n">
        <v>102.094240837696</v>
      </c>
      <c r="C6" s="6" t="n">
        <v>103.740962092336</v>
      </c>
      <c r="D6" s="6" t="n">
        <v>-1.58733948618447</v>
      </c>
    </row>
    <row r="7">
      <c r="A7" s="5" t="n">
        <v>44228</v>
      </c>
      <c r="B7" s="6" t="n">
        <v>98.0104712041885</v>
      </c>
      <c r="C7" s="6" t="n">
        <v>103.658334388962</v>
      </c>
      <c r="D7" s="6" t="n">
        <v>-5.4485374649957</v>
      </c>
    </row>
    <row r="8">
      <c r="A8" s="5" t="n">
        <v>44256</v>
      </c>
      <c r="B8" s="6" t="n">
        <v>101.047120418848</v>
      </c>
      <c r="C8" s="6" t="n">
        <v>103.583702914946</v>
      </c>
      <c r="D8" s="6" t="n">
        <v>-2.44882392182961</v>
      </c>
    </row>
    <row r="9">
      <c r="A9" s="5" t="n">
        <v>44287</v>
      </c>
      <c r="B9" s="6" t="n">
        <v>101.151832460733</v>
      </c>
      <c r="C9" s="6" t="n">
        <v>103.501075211572</v>
      </c>
      <c r="D9" s="6" t="n">
        <v>-2.26977617965515</v>
      </c>
    </row>
    <row r="10">
      <c r="A10" s="5" t="n">
        <v>44317</v>
      </c>
      <c r="B10" s="6" t="n">
        <v>102.198952879581</v>
      </c>
      <c r="C10" s="6" t="n">
        <v>103.421112917984</v>
      </c>
      <c r="D10" s="6" t="n">
        <v>-1.18173166379717</v>
      </c>
    </row>
    <row r="11">
      <c r="A11" s="5" t="n">
        <v>44348</v>
      </c>
      <c r="B11" s="6" t="n">
        <v>102.198952879581</v>
      </c>
      <c r="C11" s="6" t="n">
        <v>103.33848521461</v>
      </c>
      <c r="D11" s="6" t="n">
        <v>-1.10271824931691</v>
      </c>
    </row>
    <row r="12">
      <c r="A12" s="5" t="n">
        <v>44378</v>
      </c>
      <c r="B12" s="6" t="n">
        <v>103.141361256544</v>
      </c>
      <c r="C12" s="6" t="n">
        <v>103.258522921023</v>
      </c>
      <c r="D12" s="6" t="n">
        <v>-0.113464400965346</v>
      </c>
    </row>
    <row r="13">
      <c r="A13" s="5" t="n">
        <v>44409</v>
      </c>
      <c r="B13" s="6" t="n">
        <v>102.61780104712</v>
      </c>
      <c r="C13" s="6" t="n">
        <v>103.175895217648</v>
      </c>
      <c r="D13" s="6" t="n">
        <v>-0.540915268387754</v>
      </c>
    </row>
    <row r="14">
      <c r="A14" s="5" t="n">
        <v>44440</v>
      </c>
      <c r="B14" s="6" t="n">
        <v>101.361256544503</v>
      </c>
      <c r="C14" s="6" t="n">
        <v>103.093267514274</v>
      </c>
      <c r="D14" s="6" t="n">
        <v>-1.68004275306526</v>
      </c>
    </row>
    <row r="15">
      <c r="A15" s="5" t="n">
        <v>44470</v>
      </c>
      <c r="B15" s="6" t="n">
        <v>102.82722513089</v>
      </c>
      <c r="C15" s="6" t="n">
        <v>103.013305220687</v>
      </c>
      <c r="D15" s="6" t="n">
        <v>-0.180636947234969</v>
      </c>
    </row>
    <row r="16">
      <c r="A16" s="5" t="n">
        <v>44501</v>
      </c>
      <c r="B16" s="6" t="n">
        <v>103.350785340314</v>
      </c>
      <c r="C16" s="6" t="n">
        <v>102.930677517312</v>
      </c>
      <c r="D16" s="6" t="n">
        <v>0.408146369124007</v>
      </c>
    </row>
    <row r="17">
      <c r="A17" s="5" t="n">
        <v>44531</v>
      </c>
      <c r="B17" s="6" t="n">
        <v>103.246073298429</v>
      </c>
      <c r="C17" s="6" t="n">
        <v>102.850715223725</v>
      </c>
      <c r="D17" s="6" t="n">
        <v>0.384399927452761</v>
      </c>
    </row>
    <row r="18">
      <c r="A18" s="5" t="n">
        <v>44562</v>
      </c>
      <c r="B18" s="6" t="n">
        <v>102.303664921466</v>
      </c>
      <c r="C18" s="6" t="n">
        <v>102.768087520351</v>
      </c>
      <c r="D18" s="6" t="n">
        <v>-0.451913244753799</v>
      </c>
    </row>
    <row r="19">
      <c r="A19" s="5" t="n">
        <v>44593</v>
      </c>
      <c r="B19" s="6" t="n">
        <v>102.931937172775</v>
      </c>
      <c r="C19" s="6" t="n">
        <v>102.685459816977</v>
      </c>
      <c r="D19" s="6" t="n">
        <v>0.24003140876776</v>
      </c>
    </row>
    <row r="20">
      <c r="A20" s="5" t="n">
        <v>44621</v>
      </c>
      <c r="B20" s="6" t="n">
        <v>103.350785340314</v>
      </c>
      <c r="C20" s="6" t="n">
        <v>102.610828342961</v>
      </c>
      <c r="D20" s="6" t="n">
        <v>0.721129542858479</v>
      </c>
    </row>
    <row r="21">
      <c r="A21" s="5" t="n">
        <v>44652</v>
      </c>
      <c r="B21" s="6" t="n">
        <v>103.350785340314</v>
      </c>
      <c r="C21" s="6" t="n">
        <v>102.528200639587</v>
      </c>
      <c r="D21" s="6" t="n">
        <v>0.802300923643995</v>
      </c>
    </row>
    <row r="22">
      <c r="A22" s="5" t="n">
        <v>44682</v>
      </c>
      <c r="B22" s="6" t="n">
        <v>102.82722513089</v>
      </c>
      <c r="C22" s="6" t="n">
        <v>102.448238345999</v>
      </c>
      <c r="D22" s="6" t="n">
        <v>0.369930016376419</v>
      </c>
    </row>
    <row r="23">
      <c r="A23" s="5" t="n">
        <v>44713</v>
      </c>
      <c r="B23" s="6" t="n">
        <v>102.303664921466</v>
      </c>
      <c r="C23" s="6" t="n">
        <v>102.365610642625</v>
      </c>
      <c r="D23" s="6" t="n">
        <v>-0.0605141910163365</v>
      </c>
    </row>
    <row r="24">
      <c r="A24" s="5" t="n">
        <v>44743</v>
      </c>
      <c r="B24" s="6" t="n">
        <v>102.303664921466</v>
      </c>
      <c r="C24" s="6" t="n">
        <v>102.285648349037</v>
      </c>
      <c r="D24" s="6" t="n">
        <v>0.0176139788125695</v>
      </c>
    </row>
    <row r="25">
      <c r="A25" s="5" t="n">
        <v>44774</v>
      </c>
      <c r="B25" s="6" t="n">
        <v>102.303664921466</v>
      </c>
      <c r="C25" s="6" t="n">
        <v>102.203020645663</v>
      </c>
      <c r="D25" s="6" t="n">
        <v>0.0984748544287095</v>
      </c>
    </row>
    <row r="26">
      <c r="A26" s="5" t="n">
        <v>44805</v>
      </c>
      <c r="B26" s="6" t="n">
        <v>102.303664921466</v>
      </c>
      <c r="C26" s="6" t="n">
        <v>102.120392942289</v>
      </c>
      <c r="D26" s="6" t="n">
        <v>0.179466582429022</v>
      </c>
    </row>
    <row r="27">
      <c r="A27" s="5" t="n">
        <v>44835</v>
      </c>
      <c r="B27" s="6" t="n">
        <v>102.513089005236</v>
      </c>
      <c r="C27" s="6" t="n">
        <v>102.040430648702</v>
      </c>
      <c r="D27" s="6" t="n">
        <v>0.463206940160132</v>
      </c>
    </row>
    <row r="28">
      <c r="A28" s="5" t="n">
        <v>44866</v>
      </c>
      <c r="B28" s="6" t="n">
        <v>101.780104712042</v>
      </c>
      <c r="C28" s="6" t="n">
        <v>101.957802945327</v>
      </c>
      <c r="D28" s="6" t="n">
        <v>-0.174286055752748</v>
      </c>
    </row>
    <row r="29">
      <c r="A29" s="5" t="n">
        <v>44896</v>
      </c>
      <c r="B29" s="6" t="n">
        <v>100</v>
      </c>
      <c r="C29" s="6" t="n">
        <v>101.87784065174</v>
      </c>
      <c r="D29" s="6" t="n">
        <v>-1.84322777134517</v>
      </c>
    </row>
    <row r="30">
      <c r="A30" s="5" t="n">
        <v>44927</v>
      </c>
      <c r="B30" s="6" t="n">
        <v>101.675392670157</v>
      </c>
      <c r="C30" s="6" t="n">
        <v>101.795212948366</v>
      </c>
      <c r="D30" s="6" t="n">
        <v>-0.11770718360723</v>
      </c>
    </row>
    <row r="31">
      <c r="A31" s="5" t="n">
        <v>44958</v>
      </c>
      <c r="B31" s="6" t="n">
        <v>101.780104712042</v>
      </c>
      <c r="C31" s="6" t="n">
        <v>101.712585244992</v>
      </c>
      <c r="D31" s="6" t="n">
        <v>0.0663826082954788</v>
      </c>
    </row>
    <row r="32">
      <c r="A32" s="5" t="n">
        <v>44986</v>
      </c>
      <c r="B32" s="6" t="n">
        <v>101.047120418848</v>
      </c>
      <c r="C32" s="6" t="n">
        <v>101.637953770976</v>
      </c>
      <c r="D32" s="6" t="n">
        <v>-0.581311734649248</v>
      </c>
    </row>
    <row r="33">
      <c r="A33" s="5" t="n">
        <v>45017</v>
      </c>
      <c r="B33" s="6" t="n">
        <v>101.884816753927</v>
      </c>
      <c r="C33" s="6" t="n">
        <v>101.555326067602</v>
      </c>
      <c r="D33" s="6" t="n">
        <v>0.324444516189359</v>
      </c>
    </row>
    <row r="34">
      <c r="A34" s="5" t="n">
        <v>45047</v>
      </c>
      <c r="B34" s="6" t="n">
        <v>101.675392670157</v>
      </c>
      <c r="C34" s="6" t="n">
        <v>101.475363774014</v>
      </c>
      <c r="D34" s="6" t="n">
        <v>0.197120649489069</v>
      </c>
    </row>
    <row r="35">
      <c r="A35" s="5" t="n">
        <v>45078</v>
      </c>
      <c r="B35" s="6" t="n">
        <v>101.047120418848</v>
      </c>
      <c r="C35" s="6" t="n">
        <v>101.39273607064</v>
      </c>
      <c r="D35" s="6" t="n">
        <v>-0.340868256628668</v>
      </c>
    </row>
    <row r="36">
      <c r="A36" s="5" t="n">
        <v>45108</v>
      </c>
      <c r="B36" s="6" t="n">
        <v>101.361256544503</v>
      </c>
      <c r="C36" s="6" t="n">
        <v>101.312773777052</v>
      </c>
      <c r="D36" s="6" t="n">
        <v>0.0478545455253609</v>
      </c>
    </row>
    <row r="37">
      <c r="A37" s="5" t="n">
        <v>45139</v>
      </c>
      <c r="B37" s="6" t="n">
        <v>101.256544502618</v>
      </c>
      <c r="C37" s="6" t="n">
        <v>101.230146073678</v>
      </c>
      <c r="D37" s="6" t="n">
        <v>0.0260776359249704</v>
      </c>
    </row>
    <row r="38">
      <c r="A38" s="5" t="n">
        <v>45170</v>
      </c>
      <c r="B38" s="6" t="n">
        <v>101.361256544503</v>
      </c>
      <c r="C38" s="6" t="n">
        <v>101.147518370304</v>
      </c>
      <c r="D38" s="6" t="n">
        <v>0.211313315088746</v>
      </c>
    </row>
    <row r="39">
      <c r="A39" s="5" t="n">
        <v>45200</v>
      </c>
      <c r="B39" s="6" t="n">
        <v>100.837696335079</v>
      </c>
      <c r="C39" s="6" t="n">
        <v>101.067556076716</v>
      </c>
      <c r="D39" s="6" t="n">
        <v>-0.227431779851772</v>
      </c>
    </row>
    <row r="40">
      <c r="A40" s="5" t="n">
        <v>45231</v>
      </c>
      <c r="B40" s="6" t="n">
        <v>101.256544502618</v>
      </c>
      <c r="C40" s="6" t="n">
        <v>100.984928373342</v>
      </c>
      <c r="D40" s="6" t="n">
        <v>0.268966997006914</v>
      </c>
    </row>
    <row r="41">
      <c r="A41" s="5" t="n">
        <v>45261</v>
      </c>
      <c r="B41" s="6" t="n">
        <v>101.256544502618</v>
      </c>
      <c r="C41" s="6" t="n">
        <v>100.904966079755</v>
      </c>
      <c r="D41" s="6" t="n">
        <v>0.348425292155885</v>
      </c>
    </row>
    <row r="42">
      <c r="A42" s="5" t="n">
        <v>45292</v>
      </c>
      <c r="B42" s="6" t="n">
        <v>99.6858638743455</v>
      </c>
      <c r="C42" s="6" t="n">
        <v>100.822338376381</v>
      </c>
      <c r="D42" s="6" t="n">
        <v>-1.1272050622278</v>
      </c>
    </row>
    <row r="43">
      <c r="A43" s="5" t="n">
        <v>45323</v>
      </c>
      <c r="B43" s="6" t="n">
        <v>101.047120418848</v>
      </c>
      <c r="C43" s="6" t="n">
        <v>100.739710673006</v>
      </c>
      <c r="D43" s="6" t="n">
        <v>0.305152500228556</v>
      </c>
    </row>
    <row r="44">
      <c r="A44" s="5" t="n">
        <v>45352</v>
      </c>
      <c r="B44" s="6" t="n">
        <v>101.151832460733</v>
      </c>
      <c r="C44" s="6" t="n">
        <v>100.662413789205</v>
      </c>
      <c r="D44" s="6" t="n">
        <v>0.486198028742812</v>
      </c>
    </row>
    <row r="45">
      <c r="A45" s="5" t="n">
        <v>45383</v>
      </c>
      <c r="B45" s="6" t="n">
        <v>100.523560209424</v>
      </c>
      <c r="C45" s="6" t="n">
        <v>100.579786085831</v>
      </c>
      <c r="D45" s="6" t="n">
        <v>-0.0559017657472349</v>
      </c>
    </row>
    <row r="46">
      <c r="A46" s="5" t="n">
        <v>45413</v>
      </c>
      <c r="B46" s="6" t="n">
        <v>101.151832460733</v>
      </c>
      <c r="C46" s="6" t="n">
        <v>100.499823792243</v>
      </c>
      <c r="D46" s="6" t="n">
        <v>0.648765981757116</v>
      </c>
    </row>
    <row r="47">
      <c r="A47" s="5" t="n">
        <v>45444</v>
      </c>
      <c r="B47" s="6" t="n">
        <v>100.942408376963</v>
      </c>
      <c r="C47" s="6" t="n">
        <v>100.417196088869</v>
      </c>
      <c r="D47" s="6" t="n">
        <v>0.523030226446042</v>
      </c>
    </row>
    <row r="48">
      <c r="A48" s="5" t="n">
        <v>45474</v>
      </c>
      <c r="B48" s="6" t="n">
        <v>100.104712041885</v>
      </c>
      <c r="C48" s="6" t="n">
        <v>100.337233795281</v>
      </c>
      <c r="D48" s="6" t="n">
        <v>-0.231740246966328</v>
      </c>
    </row>
    <row r="49">
      <c r="A49" s="5" t="n">
        <v>45505</v>
      </c>
      <c r="B49" s="6" t="n">
        <v>100.628272251309</v>
      </c>
      <c r="C49" s="6" t="n">
        <v>100.254606091907</v>
      </c>
      <c r="D49" s="6" t="n">
        <v>0.372717198708306</v>
      </c>
    </row>
    <row r="50">
      <c r="A50" s="5" t="n">
        <v>45536</v>
      </c>
      <c r="B50" s="6" t="n">
        <v>100.104712041885</v>
      </c>
      <c r="C50" s="6" t="n">
        <v>100.171978388533</v>
      </c>
      <c r="D50" s="6" t="n">
        <v>-0.0671508616784222</v>
      </c>
    </row>
    <row r="51">
      <c r="A51" s="5" t="n">
        <v>45566</v>
      </c>
      <c r="B51" s="6" t="n">
        <v>99.3717277486911</v>
      </c>
      <c r="C51" s="6" t="n">
        <v>100.092016094945</v>
      </c>
      <c r="D51" s="6" t="n">
        <v>-0.719626174350252</v>
      </c>
    </row>
    <row r="52">
      <c r="A52" s="5" t="n">
        <v>45597</v>
      </c>
      <c r="B52" s="6" t="n">
        <v>99.5811518324607</v>
      </c>
      <c r="C52" s="6" t="n">
        <v>100.009388391571</v>
      </c>
      <c r="D52" s="6" t="n">
        <v>-0.4281963583596</v>
      </c>
    </row>
    <row r="53">
      <c r="A53" s="5" t="n">
        <v>45627</v>
      </c>
      <c r="B53" s="6" t="n">
        <v>100</v>
      </c>
      <c r="C53" s="6" t="n">
        <v>99.9294260979833</v>
      </c>
      <c r="D53" s="6" t="n">
        <v>0.070623743948528</v>
      </c>
    </row>
    <row r="54">
      <c r="A54" s="5" t="n">
        <v>45658</v>
      </c>
      <c r="B54" s="6" t="n">
        <v>99.5811518324607</v>
      </c>
      <c r="C54" s="6" t="n">
        <v>99.8467983946093</v>
      </c>
      <c r="D54" s="6" t="n">
        <v>-0.266054161395002</v>
      </c>
    </row>
    <row r="55">
      <c r="A55" s="5" t="n">
        <v>45689</v>
      </c>
      <c r="B55" s="6" t="n">
        <v>100.942408376963</v>
      </c>
      <c r="C55" s="6" t="n">
        <v>99.7641706912352</v>
      </c>
      <c r="D55" s="6" t="n">
        <v>1.18102288383146</v>
      </c>
    </row>
    <row r="56">
      <c r="A56" s="5" t="n">
        <v>45717</v>
      </c>
      <c r="B56" s="6" t="n">
        <v>101.361256544503</v>
      </c>
      <c r="C56" s="6" t="n">
        <v>99.6895392172199</v>
      </c>
      <c r="D56" s="6" t="n">
        <v>1.67692351716071</v>
      </c>
    </row>
    <row r="57">
      <c r="A57" s="5" t="n">
        <v>45748</v>
      </c>
      <c r="B57" s="6" t="n">
        <v>101.256544502618</v>
      </c>
      <c r="C57" s="6" t="n">
        <v>99.6069115138458</v>
      </c>
      <c r="D57" s="6" t="n">
        <v>1.65614309659894</v>
      </c>
    </row>
    <row r="58">
      <c r="A58" s="5" t="n">
        <v>45778</v>
      </c>
      <c r="B58" s="6" t="n">
        <v>101.047120418848</v>
      </c>
      <c r="C58" s="6" t="n">
        <v>99.526949220258</v>
      </c>
      <c r="D58" s="6" t="n">
        <v>1.52739655992662</v>
      </c>
    </row>
    <row r="59">
      <c r="A59" s="5" t="n">
        <v>45809</v>
      </c>
      <c r="B59" s="6" t="n">
        <v>101.465968586387</v>
      </c>
      <c r="C59" s="6" t="n">
        <v>99.4443215168839</v>
      </c>
      <c r="D59" s="6" t="n">
        <v>2.03294370021947</v>
      </c>
    </row>
    <row r="60">
      <c r="A60" s="5" t="n">
        <v>45839</v>
      </c>
      <c r="B60" s="6" t="n">
        <v>101.884816753927</v>
      </c>
      <c r="C60" s="6" t="n">
        <v>99.3643592232961</v>
      </c>
      <c r="D60" s="6" t="n">
        <v>2.53658107427279</v>
      </c>
    </row>
    <row r="61">
      <c r="A61" s="5" t="n">
        <v>45870</v>
      </c>
      <c r="B61" s="6" t="n">
        <v>101.884816753927</v>
      </c>
      <c r="C61" s="6" t="n">
        <v>99.2817315199221</v>
      </c>
      <c r="D61" s="6" t="n">
        <v>2.62191764200073</v>
      </c>
    </row>
    <row r="62">
      <c r="A62" s="5" t="n">
        <v>45901</v>
      </c>
      <c r="B62" s="6" t="n">
        <v>101.989528795812</v>
      </c>
      <c r="C62" s="6" t="n">
        <v>99.199103816548</v>
      </c>
      <c r="D62" s="6" t="n">
        <v>2.81295381904252</v>
      </c>
    </row>
    <row r="63">
      <c r="A63" s="5" t="n">
        <v>45931</v>
      </c>
      <c r="B63" s="6" t="n">
        <v>101.151832460733</v>
      </c>
      <c r="C63" s="6" t="n">
        <v>99.1191415229602</v>
      </c>
      <c r="D63" s="6" t="n">
        <v>2.05075518869575</v>
      </c>
    </row>
    <row r="64">
      <c r="A64" s="5" t="n">
        <v>45962</v>
      </c>
      <c r="B64" s="6" t="n">
        <v>101.465968586387</v>
      </c>
      <c r="C64" s="6" t="n">
        <v>99.0365138195861</v>
      </c>
      <c r="D64" s="6" t="n">
        <v>2.45308994945748</v>
      </c>
    </row>
    <row r="65">
      <c r="A65" s="5" t="n">
        <v>45992</v>
      </c>
      <c r="B65" s="6" t="n">
        <v>101.465968586387</v>
      </c>
      <c r="C65" s="6" t="n">
        <v>98.9565515259983</v>
      </c>
      <c r="D65" s="6" t="n">
        <v>2.53587763689387</v>
      </c>
    </row>
    <row r="66">
      <c r="A66" s="8" t="n">
        <v>46023</v>
      </c>
      <c r="B66" s="9" t="n">
        <v>102.094240837696</v>
      </c>
      <c r="C66" s="9" t="n">
        <v>98.8739238226242</v>
      </c>
      <c r="D66" s="9" t="n">
        <v>3.25699324004702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136</v>
      </c>
    </row>
    <row r="2">
      <c r="A2" s="2" t="s">
        <v>137</v>
      </c>
    </row>
    <row r="3">
      <c r="A3" s="2" t="s">
        <v>138</v>
      </c>
    </row>
    <row r="5">
      <c r="A5" s="4" t="s">
        <v>4</v>
      </c>
      <c r="B5" s="4" t="s">
        <v>139</v>
      </c>
      <c r="C5" s="4" t="s">
        <v>140</v>
      </c>
      <c r="D5" s="4" t="s">
        <v>141</v>
      </c>
      <c r="E5" s="4" t="s">
        <v>142</v>
      </c>
    </row>
    <row r="6">
      <c r="A6" s="12" t="n">
        <v>44928</v>
      </c>
      <c r="B6" s="6" t="n">
        <v>94.528261265588</v>
      </c>
      <c r="C6" s="6" t="n">
        <v>100.706396565101</v>
      </c>
      <c r="D6" s="6" t="n">
        <v>102.497706188195</v>
      </c>
      <c r="E6" s="6" t="n">
        <v>99.3554366600666</v>
      </c>
    </row>
    <row r="7">
      <c r="A7" s="12" t="n">
        <v>44929</v>
      </c>
      <c r="B7" s="6" t="n">
        <v>94.9472533660136</v>
      </c>
      <c r="C7" s="6" t="n">
        <v>101.108542970765</v>
      </c>
      <c r="D7" s="6" t="n">
        <v>102.028749107962</v>
      </c>
      <c r="E7" s="6" t="n">
        <v>99.6242153599865</v>
      </c>
    </row>
    <row r="8">
      <c r="A8" s="12" t="n">
        <v>44930</v>
      </c>
      <c r="B8" s="6" t="n">
        <v>94.5009356938211</v>
      </c>
      <c r="C8" s="6" t="n">
        <v>101.850279674546</v>
      </c>
      <c r="D8" s="6" t="n">
        <v>102.732184728311</v>
      </c>
      <c r="E8" s="6" t="n">
        <v>99.6798247461769</v>
      </c>
    </row>
    <row r="9">
      <c r="A9" s="12" t="n">
        <v>44931</v>
      </c>
      <c r="B9" s="6" t="n">
        <v>94.5646953612772</v>
      </c>
      <c r="C9" s="6" t="n">
        <v>101.412386921711</v>
      </c>
      <c r="D9" s="6" t="n">
        <v>103.119584055459</v>
      </c>
      <c r="E9" s="6" t="n">
        <v>100.022749294351</v>
      </c>
    </row>
    <row r="10">
      <c r="A10" s="12" t="n">
        <v>44932</v>
      </c>
      <c r="B10" s="6" t="n">
        <v>94.9654704138582</v>
      </c>
      <c r="C10" s="6" t="n">
        <v>102.020074823604</v>
      </c>
      <c r="D10" s="6" t="n">
        <v>102.19186461413</v>
      </c>
      <c r="E10" s="6" t="n">
        <v>100.727134852762</v>
      </c>
    </row>
    <row r="11">
      <c r="A11" s="12" t="n">
        <v>44935</v>
      </c>
      <c r="B11" s="6" t="n">
        <v>93.5900833015915</v>
      </c>
      <c r="C11" s="6" t="n">
        <v>102.100504104737</v>
      </c>
      <c r="D11" s="6" t="n">
        <v>103.710877765318</v>
      </c>
      <c r="E11" s="6" t="n">
        <v>100.634452542444</v>
      </c>
    </row>
    <row r="12">
      <c r="A12" s="12" t="n">
        <v>44936</v>
      </c>
      <c r="B12" s="6" t="n">
        <v>93.5718662537469</v>
      </c>
      <c r="C12" s="6" t="n">
        <v>102.100504104737</v>
      </c>
      <c r="D12" s="6" t="n">
        <v>103.34386787644</v>
      </c>
      <c r="E12" s="6" t="n">
        <v>100.560306694191</v>
      </c>
    </row>
    <row r="13">
      <c r="A13" s="12" t="n">
        <v>44937</v>
      </c>
      <c r="B13" s="6" t="n">
        <v>93.4443469188348</v>
      </c>
      <c r="C13" s="6" t="n">
        <v>102.431157816061</v>
      </c>
      <c r="D13" s="6" t="n">
        <v>103.170557651137</v>
      </c>
      <c r="E13" s="6" t="n">
        <v>100.588111387286</v>
      </c>
    </row>
    <row r="14">
      <c r="A14" s="12" t="n">
        <v>44938</v>
      </c>
      <c r="B14" s="6" t="n">
        <v>93.0344633423314</v>
      </c>
      <c r="C14" s="6" t="n">
        <v>103.083528651916</v>
      </c>
      <c r="D14" s="6" t="n">
        <v>103.13997349373</v>
      </c>
      <c r="E14" s="6" t="n">
        <v>100.588111387286</v>
      </c>
    </row>
    <row r="15">
      <c r="A15" s="12" t="n">
        <v>44939</v>
      </c>
      <c r="B15" s="6" t="n">
        <v>92.6974479572065</v>
      </c>
      <c r="C15" s="6" t="n">
        <v>102.949479850028</v>
      </c>
      <c r="D15" s="6" t="n">
        <v>102.976857987562</v>
      </c>
      <c r="E15" s="6" t="n">
        <v>100.513965539032</v>
      </c>
    </row>
    <row r="16">
      <c r="A16" s="12" t="n">
        <v>44942</v>
      </c>
      <c r="B16" s="6" t="n">
        <v>92.6427968136727</v>
      </c>
      <c r="C16" s="6" t="n">
        <v>103.342689668899</v>
      </c>
      <c r="D16" s="6" t="n">
        <v>102.997247425833</v>
      </c>
      <c r="E16" s="6" t="n">
        <v>100.347137380461</v>
      </c>
    </row>
    <row r="17">
      <c r="A17" s="12" t="n">
        <v>44943</v>
      </c>
      <c r="B17" s="6" t="n">
        <v>92.742990576818</v>
      </c>
      <c r="C17" s="6" t="n">
        <v>103.512484817958</v>
      </c>
      <c r="D17" s="6" t="n">
        <v>102.905494953614</v>
      </c>
      <c r="E17" s="6" t="n">
        <v>99.6798247461769</v>
      </c>
    </row>
    <row r="18">
      <c r="A18" s="12" t="n">
        <v>44944</v>
      </c>
      <c r="B18" s="6" t="n">
        <v>92.4241922395376</v>
      </c>
      <c r="C18" s="6" t="n">
        <v>104.281031282116</v>
      </c>
      <c r="D18" s="6" t="n">
        <v>103.017636864104</v>
      </c>
      <c r="E18" s="6" t="n">
        <v>99.8466529047479</v>
      </c>
    </row>
    <row r="19">
      <c r="A19" s="12" t="n">
        <v>44945</v>
      </c>
      <c r="B19" s="6" t="n">
        <v>92.9980292466423</v>
      </c>
      <c r="C19" s="6" t="n">
        <v>102.609889551911</v>
      </c>
      <c r="D19" s="6" t="n">
        <v>102.334590682027</v>
      </c>
      <c r="E19" s="6" t="n">
        <v>99.5778742048279</v>
      </c>
    </row>
    <row r="20">
      <c r="A20" s="12" t="n">
        <v>44946</v>
      </c>
      <c r="B20" s="6" t="n">
        <v>92.9069440074193</v>
      </c>
      <c r="C20" s="6" t="n">
        <v>102.967353023613</v>
      </c>
      <c r="D20" s="6" t="n">
        <v>102.548679783872</v>
      </c>
      <c r="E20" s="6" t="n">
        <v>99.6798247461769</v>
      </c>
    </row>
    <row r="21">
      <c r="A21" s="12" t="n">
        <v>44949</v>
      </c>
      <c r="B21" s="6" t="n">
        <v>92.6336882897504</v>
      </c>
      <c r="C21" s="6" t="n">
        <v>103.52142140475</v>
      </c>
      <c r="D21" s="6" t="n">
        <v>103.303088999898</v>
      </c>
      <c r="E21" s="6" t="n">
        <v>99.475923663479</v>
      </c>
    </row>
    <row r="22">
      <c r="A22" s="12" t="n">
        <v>44950</v>
      </c>
      <c r="B22" s="6" t="n">
        <v>92.7247735289734</v>
      </c>
      <c r="C22" s="6" t="n">
        <v>103.342689668899</v>
      </c>
      <c r="D22" s="6" t="n">
        <v>103.272504842492</v>
      </c>
      <c r="E22" s="6" t="n">
        <v>99.5778742048279</v>
      </c>
    </row>
    <row r="23">
      <c r="A23" s="12" t="n">
        <v>44951</v>
      </c>
      <c r="B23" s="6" t="n">
        <v>92.5699286222944</v>
      </c>
      <c r="C23" s="6" t="n">
        <v>103.575040925505</v>
      </c>
      <c r="D23" s="6" t="n">
        <v>103.190947089408</v>
      </c>
      <c r="E23" s="6" t="n">
        <v>99.3925095841935</v>
      </c>
    </row>
    <row r="24">
      <c r="A24" s="12" t="n">
        <v>44952</v>
      </c>
      <c r="B24" s="6" t="n">
        <v>92.5334945266052</v>
      </c>
      <c r="C24" s="6" t="n">
        <v>103.235450627389</v>
      </c>
      <c r="D24" s="6" t="n">
        <v>103.160362932001</v>
      </c>
      <c r="E24" s="6" t="n">
        <v>99.309095504908</v>
      </c>
    </row>
    <row r="25">
      <c r="A25" s="12" t="n">
        <v>44953</v>
      </c>
      <c r="B25" s="6" t="n">
        <v>92.5243860026829</v>
      </c>
      <c r="C25" s="6" t="n">
        <v>103.789519008526</v>
      </c>
      <c r="D25" s="6" t="n">
        <v>103.527372820879</v>
      </c>
      <c r="E25" s="6" t="n">
        <v>99.3832413531617</v>
      </c>
    </row>
    <row r="26">
      <c r="A26" s="12" t="n">
        <v>44956</v>
      </c>
      <c r="B26" s="6" t="n">
        <v>92.3786496199262</v>
      </c>
      <c r="C26" s="6" t="n">
        <v>103.423118950032</v>
      </c>
      <c r="D26" s="6" t="n">
        <v>103.415230910388</v>
      </c>
      <c r="E26" s="6" t="n">
        <v>99.7261659013355</v>
      </c>
    </row>
    <row r="27">
      <c r="A27" s="12" t="n">
        <v>44957</v>
      </c>
      <c r="B27" s="6" t="n">
        <v>92.7703161485849</v>
      </c>
      <c r="C27" s="6" t="n">
        <v>103.41418236324</v>
      </c>
      <c r="D27" s="6" t="n">
        <v>102.640432256091</v>
      </c>
      <c r="E27" s="6" t="n">
        <v>100.032017525382</v>
      </c>
    </row>
    <row r="28">
      <c r="A28" s="12" t="n">
        <v>44958</v>
      </c>
      <c r="B28" s="6" t="n">
        <v>92.3786496199262</v>
      </c>
      <c r="C28" s="6" t="n">
        <v>103.298006734937</v>
      </c>
      <c r="D28" s="6" t="n">
        <v>103.517178101743</v>
      </c>
      <c r="E28" s="6" t="n">
        <v>99.874457597843</v>
      </c>
    </row>
    <row r="29">
      <c r="A29" s="12" t="n">
        <v>44959</v>
      </c>
      <c r="B29" s="6" t="n">
        <v>91.8230296606661</v>
      </c>
      <c r="C29" s="6" t="n">
        <v>104.379333736834</v>
      </c>
      <c r="D29" s="6" t="n">
        <v>103.445815067795</v>
      </c>
      <c r="E29" s="6" t="n">
        <v>99.6334835910182</v>
      </c>
    </row>
    <row r="30">
      <c r="A30" s="12" t="n">
        <v>44960</v>
      </c>
      <c r="B30" s="6" t="n">
        <v>92.1782620936356</v>
      </c>
      <c r="C30" s="6" t="n">
        <v>103.762709248149</v>
      </c>
      <c r="D30" s="6" t="n">
        <v>103.02783158324</v>
      </c>
      <c r="E30" s="6" t="n">
        <v>99.707629439272</v>
      </c>
    </row>
    <row r="31">
      <c r="A31" s="12" t="n">
        <v>44963</v>
      </c>
      <c r="B31" s="6" t="n">
        <v>93.3168275839226</v>
      </c>
      <c r="C31" s="6" t="n">
        <v>102.672445659459</v>
      </c>
      <c r="D31" s="6" t="n">
        <v>103.180752370272</v>
      </c>
      <c r="E31" s="6" t="n">
        <v>100.254455070144</v>
      </c>
    </row>
    <row r="32">
      <c r="A32" s="12" t="n">
        <v>44964</v>
      </c>
      <c r="B32" s="6" t="n">
        <v>93.6174088733584</v>
      </c>
      <c r="C32" s="6" t="n">
        <v>102.386474882098</v>
      </c>
      <c r="D32" s="6" t="n">
        <v>103.23172596595</v>
      </c>
      <c r="E32" s="6" t="n">
        <v>100.541770232127</v>
      </c>
    </row>
    <row r="33">
      <c r="A33" s="12" t="n">
        <v>44965</v>
      </c>
      <c r="B33" s="6" t="n">
        <v>93.298610536078</v>
      </c>
      <c r="C33" s="6" t="n">
        <v>103.298006734937</v>
      </c>
      <c r="D33" s="6" t="n">
        <v>103.292894280763</v>
      </c>
      <c r="E33" s="6" t="n">
        <v>100.272991532207</v>
      </c>
    </row>
    <row r="34">
      <c r="A34" s="12" t="n">
        <v>44966</v>
      </c>
      <c r="B34" s="6" t="n">
        <v>93.1164400576321</v>
      </c>
      <c r="C34" s="6" t="n">
        <v>103.396309189655</v>
      </c>
      <c r="D34" s="6" t="n">
        <v>103.292894280763</v>
      </c>
      <c r="E34" s="6" t="n">
        <v>100.23591860808</v>
      </c>
    </row>
    <row r="35">
      <c r="A35" s="12" t="n">
        <v>44967</v>
      </c>
      <c r="B35" s="6" t="n">
        <v>93.4716724906017</v>
      </c>
      <c r="C35" s="6" t="n">
        <v>104.298904455701</v>
      </c>
      <c r="D35" s="6" t="n">
        <v>103.129778774595</v>
      </c>
      <c r="E35" s="6" t="n">
        <v>100.106163373636</v>
      </c>
    </row>
    <row r="36">
      <c r="A36" s="12" t="n">
        <v>44970</v>
      </c>
      <c r="B36" s="6" t="n">
        <v>93.4716724906017</v>
      </c>
      <c r="C36" s="6" t="n">
        <v>105.183626548162</v>
      </c>
      <c r="D36" s="6" t="n">
        <v>103.86379855235</v>
      </c>
      <c r="E36" s="6" t="n">
        <v>100.18030922189</v>
      </c>
    </row>
    <row r="37">
      <c r="A37" s="12" t="n">
        <v>44971</v>
      </c>
      <c r="B37" s="6" t="n">
        <v>93.1710912011659</v>
      </c>
      <c r="C37" s="6" t="n">
        <v>105.103197267029</v>
      </c>
      <c r="D37" s="6" t="n">
        <v>103.914772148027</v>
      </c>
      <c r="E37" s="6" t="n">
        <v>100.004212832287</v>
      </c>
    </row>
    <row r="38">
      <c r="A38" s="12" t="n">
        <v>44972</v>
      </c>
      <c r="B38" s="6" t="n">
        <v>93.7449282082706</v>
      </c>
      <c r="C38" s="6" t="n">
        <v>105.049577746274</v>
      </c>
      <c r="D38" s="6" t="n">
        <v>103.435620348659</v>
      </c>
      <c r="E38" s="6" t="n">
        <v>100.161772759826</v>
      </c>
    </row>
    <row r="39">
      <c r="A39" s="12" t="n">
        <v>44973</v>
      </c>
      <c r="B39" s="6" t="n">
        <v>93.726711160426</v>
      </c>
      <c r="C39" s="6" t="n">
        <v>105.630455887789</v>
      </c>
      <c r="D39" s="6" t="n">
        <v>103.598735854827</v>
      </c>
      <c r="E39" s="6" t="n">
        <v>100.022749294351</v>
      </c>
    </row>
    <row r="40">
      <c r="A40" s="12" t="n">
        <v>44974</v>
      </c>
      <c r="B40" s="6" t="n">
        <v>94.2094629283077</v>
      </c>
      <c r="C40" s="6" t="n">
        <v>105.925363251943</v>
      </c>
      <c r="D40" s="6" t="n">
        <v>102.854521357937</v>
      </c>
      <c r="E40" s="6" t="n">
        <v>100.208113914985</v>
      </c>
    </row>
    <row r="41">
      <c r="A41" s="12" t="n">
        <v>44977</v>
      </c>
      <c r="B41" s="6" t="n">
        <v>93.7631452561151</v>
      </c>
      <c r="C41" s="6" t="n">
        <v>106.613480434968</v>
      </c>
      <c r="D41" s="6" t="n">
        <v>103.119584055459</v>
      </c>
      <c r="E41" s="6" t="n">
        <v>100.161772759826</v>
      </c>
    </row>
    <row r="42">
      <c r="A42" s="12" t="n">
        <v>44978</v>
      </c>
      <c r="B42" s="6" t="n">
        <v>93.8906645910273</v>
      </c>
      <c r="C42" s="6" t="n">
        <v>106.872641451952</v>
      </c>
      <c r="D42" s="6" t="n">
        <v>103.201141808543</v>
      </c>
      <c r="E42" s="6" t="n">
        <v>99.9393352150651</v>
      </c>
    </row>
    <row r="43">
      <c r="A43" s="12" t="n">
        <v>44979</v>
      </c>
      <c r="B43" s="6" t="n">
        <v>94.0819435933955</v>
      </c>
      <c r="C43" s="6" t="n">
        <v>106.827958517989</v>
      </c>
      <c r="D43" s="6" t="n">
        <v>102.671016413498</v>
      </c>
      <c r="E43" s="6" t="n">
        <v>99.8837258288747</v>
      </c>
    </row>
    <row r="44">
      <c r="A44" s="12" t="n">
        <v>44980</v>
      </c>
      <c r="B44" s="6" t="n">
        <v>94.0819435933955</v>
      </c>
      <c r="C44" s="6" t="n">
        <v>107.382026899126</v>
      </c>
      <c r="D44" s="6" t="n">
        <v>102.721990009175</v>
      </c>
      <c r="E44" s="6" t="n">
        <v>99.8466529047479</v>
      </c>
    </row>
    <row r="45">
      <c r="A45" s="12" t="n">
        <v>44981</v>
      </c>
      <c r="B45" s="6" t="n">
        <v>94.6102379808887</v>
      </c>
      <c r="C45" s="6" t="n">
        <v>106.908387799122</v>
      </c>
      <c r="D45" s="6" t="n">
        <v>102.467122030788</v>
      </c>
      <c r="E45" s="6" t="n">
        <v>99.5871424358596</v>
      </c>
    </row>
    <row r="46">
      <c r="A46" s="12" t="n">
        <v>44984</v>
      </c>
      <c r="B46" s="6" t="n">
        <v>94.6922146961893</v>
      </c>
      <c r="C46" s="6" t="n">
        <v>107.542885461392</v>
      </c>
      <c r="D46" s="6" t="n">
        <v>102.650626975227</v>
      </c>
      <c r="E46" s="6" t="n">
        <v>99.6890929772086</v>
      </c>
    </row>
    <row r="47">
      <c r="A47" s="12" t="n">
        <v>44985</v>
      </c>
      <c r="B47" s="6" t="n">
        <v>94.4736101220542</v>
      </c>
      <c r="C47" s="6" t="n">
        <v>107.703744023658</v>
      </c>
      <c r="D47" s="6" t="n">
        <v>102.609848098685</v>
      </c>
      <c r="E47" s="6" t="n">
        <v>99.7910435185575</v>
      </c>
    </row>
    <row r="48">
      <c r="A48" s="12" t="n">
        <v>44986</v>
      </c>
      <c r="B48" s="6" t="n">
        <v>93.9179901627942</v>
      </c>
      <c r="C48" s="6" t="n">
        <v>107.766300131205</v>
      </c>
      <c r="D48" s="6" t="n">
        <v>102.07972270364</v>
      </c>
      <c r="E48" s="6" t="n">
        <v>100.291527994271</v>
      </c>
    </row>
    <row r="49">
      <c r="A49" s="12" t="n">
        <v>44987</v>
      </c>
      <c r="B49" s="6" t="n">
        <v>94.3369822632198</v>
      </c>
      <c r="C49" s="6" t="n">
        <v>108.597402702911</v>
      </c>
      <c r="D49" s="6" t="n">
        <v>102.140891018452</v>
      </c>
      <c r="E49" s="6" t="n">
        <v>100.115431604668</v>
      </c>
    </row>
    <row r="50">
      <c r="A50" s="12" t="n">
        <v>44988</v>
      </c>
      <c r="B50" s="6" t="n">
        <v>94.1457032608516</v>
      </c>
      <c r="C50" s="6" t="n">
        <v>108.91018324065</v>
      </c>
      <c r="D50" s="6" t="n">
        <v>102.232643490672</v>
      </c>
      <c r="E50" s="6" t="n">
        <v>99.9486034460968</v>
      </c>
    </row>
    <row r="51">
      <c r="A51" s="12" t="n">
        <v>44991</v>
      </c>
      <c r="B51" s="6" t="n">
        <v>94.0455094977063</v>
      </c>
      <c r="C51" s="6" t="n">
        <v>109.553617489713</v>
      </c>
      <c r="D51" s="6" t="n">
        <v>102.089917422775</v>
      </c>
      <c r="E51" s="6" t="n">
        <v>99.4295825083204</v>
      </c>
    </row>
    <row r="52">
      <c r="A52" s="12" t="n">
        <v>44992</v>
      </c>
      <c r="B52" s="6" t="n">
        <v>94.127486213007</v>
      </c>
      <c r="C52" s="6" t="n">
        <v>109.40169551424</v>
      </c>
      <c r="D52" s="6" t="n">
        <v>101.886023040065</v>
      </c>
      <c r="E52" s="6" t="n">
        <v>99.4666554324472</v>
      </c>
    </row>
    <row r="53">
      <c r="A53" s="12" t="n">
        <v>44993</v>
      </c>
      <c r="B53" s="6" t="n">
        <v>94.683106172267</v>
      </c>
      <c r="C53" s="6" t="n">
        <v>109.535744316128</v>
      </c>
      <c r="D53" s="6" t="n">
        <v>101.35589764502</v>
      </c>
      <c r="E53" s="6" t="n">
        <v>99.8281164426844</v>
      </c>
    </row>
    <row r="54">
      <c r="A54" s="12" t="n">
        <v>44994</v>
      </c>
      <c r="B54" s="6" t="n">
        <v>94.6375635526556</v>
      </c>
      <c r="C54" s="6" t="n">
        <v>110.223861499153</v>
      </c>
      <c r="D54" s="6" t="n">
        <v>100.886940564787</v>
      </c>
      <c r="E54" s="6" t="n">
        <v>99.5686059737962</v>
      </c>
    </row>
    <row r="55">
      <c r="A55" s="12" t="n">
        <v>44995</v>
      </c>
      <c r="B55" s="6" t="n">
        <v>94.9199277942467</v>
      </c>
      <c r="C55" s="6" t="n">
        <v>106.997753667047</v>
      </c>
      <c r="D55" s="6" t="n">
        <v>100.795188092568</v>
      </c>
      <c r="E55" s="6" t="n">
        <v>99.7910435185575</v>
      </c>
    </row>
    <row r="56">
      <c r="A56" s="12" t="n">
        <v>44998</v>
      </c>
      <c r="B56" s="6" t="n">
        <v>94.3096566914529</v>
      </c>
      <c r="C56" s="6" t="n">
        <v>104.173792240605</v>
      </c>
      <c r="D56" s="6" t="n">
        <v>100.876745845652</v>
      </c>
      <c r="E56" s="6" t="n">
        <v>100.347137380461</v>
      </c>
    </row>
    <row r="57">
      <c r="A57" s="12" t="n">
        <v>44999</v>
      </c>
      <c r="B57" s="6" t="n">
        <v>94.1548117847739</v>
      </c>
      <c r="C57" s="6" t="n">
        <v>105.004894812311</v>
      </c>
      <c r="D57" s="6" t="n">
        <v>101.529207870323</v>
      </c>
      <c r="E57" s="6" t="n">
        <v>100.143236297763</v>
      </c>
    </row>
    <row r="58">
      <c r="A58" s="12" t="n">
        <v>45000</v>
      </c>
      <c r="B58" s="6" t="n">
        <v>94.865276650713</v>
      </c>
      <c r="C58" s="6" t="n">
        <v>104.138045893435</v>
      </c>
      <c r="D58" s="6" t="n">
        <v>101.376287083291</v>
      </c>
      <c r="E58" s="6" t="n">
        <v>100.133968066731</v>
      </c>
    </row>
    <row r="59">
      <c r="A59" s="12" t="n">
        <v>45001</v>
      </c>
      <c r="B59" s="6" t="n">
        <v>94.8288425550238</v>
      </c>
      <c r="C59" s="6" t="n">
        <v>103.280133561352</v>
      </c>
      <c r="D59" s="6" t="n">
        <v>101.35589764502</v>
      </c>
      <c r="E59" s="6" t="n">
        <v>100.171040990858</v>
      </c>
    </row>
    <row r="60">
      <c r="A60" s="12" t="n">
        <v>45002</v>
      </c>
      <c r="B60" s="6" t="n">
        <v>94.5009356938211</v>
      </c>
      <c r="C60" s="6" t="n">
        <v>104.620621580232</v>
      </c>
      <c r="D60" s="6" t="n">
        <v>101.345702925884</v>
      </c>
      <c r="E60" s="6" t="n">
        <v>100.161772759826</v>
      </c>
    </row>
    <row r="61">
      <c r="A61" s="12" t="n">
        <v>45005</v>
      </c>
      <c r="B61" s="6" t="n">
        <v>94.3005481675306</v>
      </c>
      <c r="C61" s="6" t="n">
        <v>103.735899487771</v>
      </c>
      <c r="D61" s="6" t="n">
        <v>101.539402589459</v>
      </c>
      <c r="E61" s="6" t="n">
        <v>99.874457597843</v>
      </c>
    </row>
    <row r="62">
      <c r="A62" s="12" t="n">
        <v>45006</v>
      </c>
      <c r="B62" s="6" t="n">
        <v>94.0090754020171</v>
      </c>
      <c r="C62" s="6" t="n">
        <v>105.031704572689</v>
      </c>
      <c r="D62" s="6" t="n">
        <v>101.569986746865</v>
      </c>
      <c r="E62" s="6" t="n">
        <v>99.8929940599065</v>
      </c>
    </row>
    <row r="63">
      <c r="A63" s="12" t="n">
        <v>45007</v>
      </c>
      <c r="B63" s="6" t="n">
        <v>93.9362072106388</v>
      </c>
      <c r="C63" s="6" t="n">
        <v>105.88068031798</v>
      </c>
      <c r="D63" s="6" t="n">
        <v>101.233561015394</v>
      </c>
      <c r="E63" s="6" t="n">
        <v>99.6612882841134</v>
      </c>
    </row>
    <row r="64">
      <c r="A64" s="12" t="n">
        <v>45008</v>
      </c>
      <c r="B64" s="6" t="n">
        <v>93.3805872513787</v>
      </c>
      <c r="C64" s="6" t="n">
        <v>105.433850978353</v>
      </c>
      <c r="D64" s="6" t="n">
        <v>101.192782138852</v>
      </c>
      <c r="E64" s="6" t="n">
        <v>99.8188482116527</v>
      </c>
    </row>
    <row r="65">
      <c r="A65" s="12" t="n">
        <v>45009</v>
      </c>
      <c r="B65" s="6" t="n">
        <v>93.9817498302503</v>
      </c>
      <c r="C65" s="6" t="n">
        <v>105.004894812311</v>
      </c>
      <c r="D65" s="6" t="n">
        <v>100.611683148129</v>
      </c>
      <c r="E65" s="6" t="n">
        <v>99.6612882841134</v>
      </c>
    </row>
    <row r="66">
      <c r="A66" s="12" t="n">
        <v>45012</v>
      </c>
      <c r="B66" s="6" t="n">
        <v>93.7084941125813</v>
      </c>
      <c r="C66" s="6" t="n">
        <v>106.702846302893</v>
      </c>
      <c r="D66" s="6" t="n">
        <v>101.111224385768</v>
      </c>
      <c r="E66" s="6" t="n">
        <v>99.4666554324472</v>
      </c>
    </row>
    <row r="67">
      <c r="A67" s="12" t="n">
        <v>45013</v>
      </c>
      <c r="B67" s="6" t="n">
        <v>93.3623702035341</v>
      </c>
      <c r="C67" s="6" t="n">
        <v>107.069246361387</v>
      </c>
      <c r="D67" s="6" t="n">
        <v>101.366092364155</v>
      </c>
      <c r="E67" s="6" t="n">
        <v>99.207144963559</v>
      </c>
    </row>
    <row r="68">
      <c r="A68" s="12" t="n">
        <v>45014</v>
      </c>
      <c r="B68" s="6" t="n">
        <v>93.3623702035341</v>
      </c>
      <c r="C68" s="6" t="n">
        <v>107.757363544413</v>
      </c>
      <c r="D68" s="6" t="n">
        <v>101.896217759201</v>
      </c>
      <c r="E68" s="6" t="n">
        <v>99.2534861187176</v>
      </c>
    </row>
    <row r="69">
      <c r="A69" s="12" t="n">
        <v>45015</v>
      </c>
      <c r="B69" s="6" t="n">
        <v>93.143765629399</v>
      </c>
      <c r="C69" s="6" t="n">
        <v>108.320368512343</v>
      </c>
      <c r="D69" s="6" t="n">
        <v>102.161280456723</v>
      </c>
      <c r="E69" s="6" t="n">
        <v>99.1886085014956</v>
      </c>
    </row>
    <row r="70">
      <c r="A70" s="12" t="n">
        <v>45016</v>
      </c>
      <c r="B70" s="6" t="n">
        <v>93.1619826772436</v>
      </c>
      <c r="C70" s="6" t="n">
        <v>108.472290487816</v>
      </c>
      <c r="D70" s="6" t="n">
        <v>102.089917422775</v>
      </c>
      <c r="E70" s="6" t="n">
        <v>99.3554366600666</v>
      </c>
    </row>
    <row r="71">
      <c r="A71" s="12" t="n">
        <v>45019</v>
      </c>
      <c r="B71" s="6" t="n">
        <v>93.0800059619429</v>
      </c>
      <c r="C71" s="6" t="n">
        <v>108.928056414235</v>
      </c>
      <c r="D71" s="6" t="n">
        <v>102.803547762259</v>
      </c>
      <c r="E71" s="6" t="n">
        <v>99.2442178876859</v>
      </c>
    </row>
    <row r="72">
      <c r="A72" s="12" t="n">
        <v>45020</v>
      </c>
      <c r="B72" s="6" t="n">
        <v>92.9980292466423</v>
      </c>
      <c r="C72" s="6" t="n">
        <v>108.597402702911</v>
      </c>
      <c r="D72" s="6" t="n">
        <v>102.966663268427</v>
      </c>
      <c r="E72" s="6" t="n">
        <v>99.1700720394321</v>
      </c>
    </row>
    <row r="73">
      <c r="A73" s="12" t="n">
        <v>45021</v>
      </c>
      <c r="B73" s="6" t="n">
        <v>92.9342695791862</v>
      </c>
      <c r="C73" s="6" t="n">
        <v>107.855665999131</v>
      </c>
      <c r="D73" s="6" t="n">
        <v>102.732184728311</v>
      </c>
      <c r="E73" s="6" t="n">
        <v>99.0217803429246</v>
      </c>
    </row>
    <row r="74">
      <c r="A74" s="12" t="n">
        <v>45022</v>
      </c>
      <c r="B74" s="6" t="n">
        <v>93.1073315337098</v>
      </c>
      <c r="C74" s="6" t="n">
        <v>107.00669025384</v>
      </c>
      <c r="D74" s="6" t="n">
        <v>102.671016413498</v>
      </c>
      <c r="E74" s="6" t="n">
        <v>99.2812908118128</v>
      </c>
    </row>
    <row r="75">
      <c r="A75" s="12" t="n">
        <v>45023</v>
      </c>
      <c r="B75" s="6" t="n">
        <v>93.1073315337098</v>
      </c>
      <c r="C75" s="6" t="n">
        <v>107.00669025384</v>
      </c>
      <c r="D75" s="6" t="n">
        <v>102.671016413498</v>
      </c>
      <c r="E75" s="6" t="n">
        <v>99.2998272738762</v>
      </c>
    </row>
    <row r="76">
      <c r="A76" s="12" t="n">
        <v>45026</v>
      </c>
      <c r="B76" s="6" t="n">
        <v>93.1073315337098</v>
      </c>
      <c r="C76" s="6" t="n">
        <v>107.00669025384</v>
      </c>
      <c r="D76" s="6" t="n">
        <v>102.671016413498</v>
      </c>
      <c r="E76" s="6" t="n">
        <v>99.2905590428445</v>
      </c>
    </row>
    <row r="77">
      <c r="A77" s="12" t="n">
        <v>45027</v>
      </c>
      <c r="B77" s="6" t="n">
        <v>93.2621764403889</v>
      </c>
      <c r="C77" s="6" t="n">
        <v>107.989714801019</v>
      </c>
      <c r="D77" s="6" t="n">
        <v>102.456927311653</v>
      </c>
      <c r="E77" s="6" t="n">
        <v>99.4110460462569</v>
      </c>
    </row>
    <row r="78">
      <c r="A78" s="12" t="n">
        <v>45028</v>
      </c>
      <c r="B78" s="6" t="n">
        <v>93.2166338207774</v>
      </c>
      <c r="C78" s="6" t="n">
        <v>108.096953842529</v>
      </c>
      <c r="D78" s="6" t="n">
        <v>102.62004281782</v>
      </c>
      <c r="E78" s="6" t="n">
        <v>99.4388507393521</v>
      </c>
    </row>
    <row r="79">
      <c r="A79" s="12" t="n">
        <v>45029</v>
      </c>
      <c r="B79" s="6" t="n">
        <v>92.7520991007403</v>
      </c>
      <c r="C79" s="6" t="n">
        <v>108.061207495359</v>
      </c>
      <c r="D79" s="6" t="n">
        <v>103.068610459782</v>
      </c>
      <c r="E79" s="6" t="n">
        <v>98.9939756498294</v>
      </c>
    </row>
    <row r="80">
      <c r="A80" s="12" t="n">
        <v>45030</v>
      </c>
      <c r="B80" s="6" t="n">
        <v>92.4424092873822</v>
      </c>
      <c r="C80" s="6" t="n">
        <v>108.096953842529</v>
      </c>
      <c r="D80" s="6" t="n">
        <v>103.568151697421</v>
      </c>
      <c r="E80" s="6" t="n">
        <v>99.1329991153052</v>
      </c>
    </row>
    <row r="81">
      <c r="A81" s="12" t="n">
        <v>45033</v>
      </c>
      <c r="B81" s="6" t="n">
        <v>92.7885331964295</v>
      </c>
      <c r="C81" s="6" t="n">
        <v>108.722514918007</v>
      </c>
      <c r="D81" s="6" t="n">
        <v>103.394841472117</v>
      </c>
      <c r="E81" s="6" t="n">
        <v>99.3461684290348</v>
      </c>
    </row>
    <row r="82">
      <c r="A82" s="12" t="n">
        <v>45034</v>
      </c>
      <c r="B82" s="6" t="n">
        <v>92.8340758160409</v>
      </c>
      <c r="C82" s="6" t="n">
        <v>108.865500306687</v>
      </c>
      <c r="D82" s="6" t="n">
        <v>103.282699561627</v>
      </c>
      <c r="E82" s="6" t="n">
        <v>99.2998272738762</v>
      </c>
    </row>
    <row r="83">
      <c r="A83" s="12" t="n">
        <v>45035</v>
      </c>
      <c r="B83" s="6" t="n">
        <v>93.2895020121558</v>
      </c>
      <c r="C83" s="6" t="n">
        <v>108.23993923121</v>
      </c>
      <c r="D83" s="6" t="n">
        <v>102.987052706698</v>
      </c>
      <c r="E83" s="6" t="n">
        <v>99.4017778152252</v>
      </c>
    </row>
    <row r="84">
      <c r="A84" s="12" t="n">
        <v>45036</v>
      </c>
      <c r="B84" s="6" t="n">
        <v>93.2166338207774</v>
      </c>
      <c r="C84" s="6" t="n">
        <v>108.23993923121</v>
      </c>
      <c r="D84" s="6" t="n">
        <v>102.62004281782</v>
      </c>
      <c r="E84" s="6" t="n">
        <v>99.5593377427645</v>
      </c>
    </row>
    <row r="85">
      <c r="A85" s="12" t="n">
        <v>45037</v>
      </c>
      <c r="B85" s="6" t="n">
        <v>93.1073315337098</v>
      </c>
      <c r="C85" s="6" t="n">
        <v>108.83869054631</v>
      </c>
      <c r="D85" s="6" t="n">
        <v>102.161280456723</v>
      </c>
      <c r="E85" s="6" t="n">
        <v>99.3183637359397</v>
      </c>
    </row>
    <row r="86">
      <c r="A86" s="12" t="n">
        <v>45040</v>
      </c>
      <c r="B86" s="6" t="n">
        <v>93.1528741533213</v>
      </c>
      <c r="C86" s="6" t="n">
        <v>108.713578331214</v>
      </c>
      <c r="D86" s="6" t="n">
        <v>102.07972270364</v>
      </c>
      <c r="E86" s="6" t="n">
        <v>99.2998272738762</v>
      </c>
    </row>
    <row r="87">
      <c r="A87" s="12" t="n">
        <v>45041</v>
      </c>
      <c r="B87" s="6" t="n">
        <v>93.1984167729328</v>
      </c>
      <c r="C87" s="6" t="n">
        <v>109.133597910464</v>
      </c>
      <c r="D87" s="6" t="n">
        <v>101.743296972168</v>
      </c>
      <c r="E87" s="6" t="n">
        <v>98.8642204153853</v>
      </c>
    </row>
    <row r="88">
      <c r="A88" s="12" t="n">
        <v>45042</v>
      </c>
      <c r="B88" s="6" t="n">
        <v>93.2257423446997</v>
      </c>
      <c r="C88" s="6" t="n">
        <v>108.534846595364</v>
      </c>
      <c r="D88" s="6" t="n">
        <v>101.549597308594</v>
      </c>
      <c r="E88" s="6" t="n">
        <v>98.7622698740363</v>
      </c>
    </row>
    <row r="89">
      <c r="A89" s="12" t="n">
        <v>45043</v>
      </c>
      <c r="B89" s="6" t="n">
        <v>93.234850868622</v>
      </c>
      <c r="C89" s="6" t="n">
        <v>108.114827016114</v>
      </c>
      <c r="D89" s="6" t="n">
        <v>101.539402589459</v>
      </c>
      <c r="E89" s="6" t="n">
        <v>98.706660487846</v>
      </c>
    </row>
    <row r="90">
      <c r="A90" s="12" t="n">
        <v>45044</v>
      </c>
      <c r="B90" s="6" t="n">
        <v>93.4170213470679</v>
      </c>
      <c r="C90" s="6" t="n">
        <v>108.740388091592</v>
      </c>
      <c r="D90" s="6" t="n">
        <v>101.478234274646</v>
      </c>
      <c r="E90" s="6" t="n">
        <v>99.1144626532418</v>
      </c>
    </row>
    <row r="91">
      <c r="A91" s="12" t="n">
        <v>45047</v>
      </c>
      <c r="B91" s="6" t="n">
        <v>93.4261298709902</v>
      </c>
      <c r="C91" s="6" t="n">
        <v>108.749324678384</v>
      </c>
      <c r="D91" s="6" t="n">
        <v>101.478234274646</v>
      </c>
      <c r="E91" s="6" t="n">
        <v>99.1329991153052</v>
      </c>
    </row>
    <row r="92">
      <c r="A92" s="12" t="n">
        <v>45048</v>
      </c>
      <c r="B92" s="6" t="n">
        <v>93.3714787274564</v>
      </c>
      <c r="C92" s="6" t="n">
        <v>109.428505274617</v>
      </c>
      <c r="D92" s="6" t="n">
        <v>101.98797023142</v>
      </c>
      <c r="E92" s="6" t="n">
        <v>99.3554366600666</v>
      </c>
    </row>
    <row r="93">
      <c r="A93" s="12" t="n">
        <v>45049</v>
      </c>
      <c r="B93" s="6" t="n">
        <v>93.1346571054767</v>
      </c>
      <c r="C93" s="6" t="n">
        <v>109.160407670841</v>
      </c>
      <c r="D93" s="6" t="n">
        <v>101.478234274646</v>
      </c>
      <c r="E93" s="6" t="n">
        <v>98.9105615705439</v>
      </c>
    </row>
    <row r="94">
      <c r="A94" s="12" t="n">
        <v>45050</v>
      </c>
      <c r="B94" s="6" t="n">
        <v>92.897835483497</v>
      </c>
      <c r="C94" s="6" t="n">
        <v>109.392758927447</v>
      </c>
      <c r="D94" s="6" t="n">
        <v>101.46803955551</v>
      </c>
      <c r="E94" s="6" t="n">
        <v>98.6232464085605</v>
      </c>
    </row>
    <row r="95">
      <c r="A95" s="12" t="n">
        <v>45051</v>
      </c>
      <c r="B95" s="6" t="n">
        <v>92.8522928638855</v>
      </c>
      <c r="C95" s="6" t="n">
        <v>109.419568687825</v>
      </c>
      <c r="D95" s="6" t="n">
        <v>102.385564277704</v>
      </c>
      <c r="E95" s="6" t="n">
        <v>98.6139781775288</v>
      </c>
    </row>
    <row r="96">
      <c r="A96" s="12" t="n">
        <v>45054</v>
      </c>
      <c r="B96" s="6" t="n">
        <v>92.651905337595</v>
      </c>
      <c r="C96" s="6" t="n">
        <v>109.982573655755</v>
      </c>
      <c r="D96" s="6" t="n">
        <v>103.619125293098</v>
      </c>
      <c r="E96" s="6" t="n">
        <v>98.5027594051481</v>
      </c>
    </row>
    <row r="97">
      <c r="A97" s="12" t="n">
        <v>45055</v>
      </c>
      <c r="B97" s="6" t="n">
        <v>92.9069440074193</v>
      </c>
      <c r="C97" s="6" t="n">
        <v>110.152368804813</v>
      </c>
      <c r="D97" s="6" t="n">
        <v>103.221531246814</v>
      </c>
      <c r="E97" s="6" t="n">
        <v>98.6881240257825</v>
      </c>
    </row>
    <row r="98">
      <c r="A98" s="12" t="n">
        <v>45056</v>
      </c>
      <c r="B98" s="6" t="n">
        <v>92.8705099117301</v>
      </c>
      <c r="C98" s="6" t="n">
        <v>110.652817665195</v>
      </c>
      <c r="D98" s="6" t="n">
        <v>103.272504842492</v>
      </c>
      <c r="E98" s="6" t="n">
        <v>98.6695875637191</v>
      </c>
    </row>
    <row r="99">
      <c r="A99" s="12" t="n">
        <v>45057</v>
      </c>
      <c r="B99" s="6" t="n">
        <v>92.8340758160409</v>
      </c>
      <c r="C99" s="6" t="n">
        <v>111.466047063316</v>
      </c>
      <c r="D99" s="6" t="n">
        <v>102.966663268427</v>
      </c>
      <c r="E99" s="6" t="n">
        <v>98.4286135568943</v>
      </c>
    </row>
    <row r="100">
      <c r="A100" s="12" t="n">
        <v>45058</v>
      </c>
      <c r="B100" s="6" t="n">
        <v>93.1619826772436</v>
      </c>
      <c r="C100" s="6" t="n">
        <v>111.367744608598</v>
      </c>
      <c r="D100" s="6" t="n">
        <v>102.548679783872</v>
      </c>
      <c r="E100" s="6" t="n">
        <v>98.5212958672115</v>
      </c>
    </row>
    <row r="101">
      <c r="A101" s="12" t="n">
        <v>45061</v>
      </c>
      <c r="B101" s="6" t="n">
        <v>93.1984167729328</v>
      </c>
      <c r="C101" s="6" t="n">
        <v>111.948622750113</v>
      </c>
      <c r="D101" s="6" t="n">
        <v>102.538485064736</v>
      </c>
      <c r="E101" s="6" t="n">
        <v>98.6417828706239</v>
      </c>
    </row>
    <row r="102">
      <c r="A102" s="12" t="n">
        <v>45062</v>
      </c>
      <c r="B102" s="6" t="n">
        <v>93.143765629399</v>
      </c>
      <c r="C102" s="6" t="n">
        <v>112.645676519931</v>
      </c>
      <c r="D102" s="6" t="n">
        <v>102.803547762259</v>
      </c>
      <c r="E102" s="6" t="n">
        <v>98.5027594051481</v>
      </c>
    </row>
    <row r="103">
      <c r="A103" s="12" t="n">
        <v>45063</v>
      </c>
      <c r="B103" s="6" t="n">
        <v>93.5809747776692</v>
      </c>
      <c r="C103" s="6" t="n">
        <v>111.93968616332</v>
      </c>
      <c r="D103" s="6" t="n">
        <v>102.834131919666</v>
      </c>
      <c r="E103" s="6" t="n">
        <v>98.4100770948309</v>
      </c>
    </row>
    <row r="104">
      <c r="A104" s="12" t="n">
        <v>45064</v>
      </c>
      <c r="B104" s="6" t="n">
        <v>93.8360134474935</v>
      </c>
      <c r="C104" s="6" t="n">
        <v>111.34093484822</v>
      </c>
      <c r="D104" s="6" t="n">
        <v>103.109389336324</v>
      </c>
      <c r="E104" s="6" t="n">
        <v>98.1320301638792</v>
      </c>
    </row>
    <row r="105">
      <c r="A105" s="12" t="n">
        <v>45065</v>
      </c>
      <c r="B105" s="6" t="n">
        <v>93.7631452561151</v>
      </c>
      <c r="C105" s="6" t="n">
        <v>111.600095865204</v>
      </c>
      <c r="D105" s="6" t="n">
        <v>102.966663268427</v>
      </c>
      <c r="E105" s="6" t="n">
        <v>98.3266630155454</v>
      </c>
    </row>
    <row r="106">
      <c r="A106" s="12" t="n">
        <v>45068</v>
      </c>
      <c r="B106" s="6" t="n">
        <v>93.9726413063279</v>
      </c>
      <c r="C106" s="6" t="n">
        <v>110.10768587085</v>
      </c>
      <c r="D106" s="6" t="n">
        <v>102.874910796208</v>
      </c>
      <c r="E106" s="6" t="n">
        <v>98.0208113914985</v>
      </c>
    </row>
    <row r="107">
      <c r="A107" s="12" t="n">
        <v>45069</v>
      </c>
      <c r="B107" s="6" t="n">
        <v>94.2276799761522</v>
      </c>
      <c r="C107" s="6" t="n">
        <v>110.116622457643</v>
      </c>
      <c r="D107" s="6" t="n">
        <v>102.93607911102</v>
      </c>
      <c r="E107" s="6" t="n">
        <v>97.8817879260227</v>
      </c>
    </row>
    <row r="108">
      <c r="A108" s="12" t="n">
        <v>45070</v>
      </c>
      <c r="B108" s="6" t="n">
        <v>94.1639203086962</v>
      </c>
      <c r="C108" s="6" t="n">
        <v>110.572388384062</v>
      </c>
      <c r="D108" s="6" t="n">
        <v>102.752574166582</v>
      </c>
      <c r="E108" s="6" t="n">
        <v>97.9744702363399</v>
      </c>
    </row>
    <row r="109">
      <c r="A109" s="12" t="n">
        <v>45071</v>
      </c>
      <c r="B109" s="6" t="n">
        <v>94.4280675024427</v>
      </c>
      <c r="C109" s="6" t="n">
        <v>111.242632393502</v>
      </c>
      <c r="D109" s="6" t="n">
        <v>102.405953715975</v>
      </c>
      <c r="E109" s="6" t="n">
        <v>97.9652020053082</v>
      </c>
    </row>
    <row r="110">
      <c r="A110" s="12" t="n">
        <v>45072</v>
      </c>
      <c r="B110" s="6" t="n">
        <v>94.3551993110644</v>
      </c>
      <c r="C110" s="6" t="n">
        <v>111.430300716146</v>
      </c>
      <c r="D110" s="6" t="n">
        <v>102.30400652462</v>
      </c>
      <c r="E110" s="6" t="n">
        <v>98.1134937018157</v>
      </c>
    </row>
    <row r="111">
      <c r="A111" s="12" t="n">
        <v>45075</v>
      </c>
      <c r="B111" s="6" t="n">
        <v>94.4007419306759</v>
      </c>
      <c r="C111" s="6" t="n">
        <v>112.440135023702</v>
      </c>
      <c r="D111" s="6" t="n">
        <v>102.467122030788</v>
      </c>
      <c r="E111" s="6" t="n">
        <v>97.9559337742764</v>
      </c>
    </row>
    <row r="112">
      <c r="A112" s="12" t="n">
        <v>45076</v>
      </c>
      <c r="B112" s="6" t="n">
        <v>94.2094629283077</v>
      </c>
      <c r="C112" s="6" t="n">
        <v>112.681422867101</v>
      </c>
      <c r="D112" s="6" t="n">
        <v>102.497706188195</v>
      </c>
      <c r="E112" s="6" t="n">
        <v>97.7891056157055</v>
      </c>
    </row>
    <row r="113">
      <c r="A113" s="12" t="n">
        <v>45077</v>
      </c>
      <c r="B113" s="6" t="n">
        <v>94.7377573158008</v>
      </c>
      <c r="C113" s="6" t="n">
        <v>111.83244712181</v>
      </c>
      <c r="D113" s="6" t="n">
        <v>102.19186461413</v>
      </c>
      <c r="E113" s="6" t="n">
        <v>97.6964233053882</v>
      </c>
    </row>
    <row r="114">
      <c r="A114" s="12" t="n">
        <v>45078</v>
      </c>
      <c r="B114" s="6" t="n">
        <v>94.5555868373549</v>
      </c>
      <c r="C114" s="6" t="n">
        <v>112.252466701059</v>
      </c>
      <c r="D114" s="6" t="n">
        <v>102.742379447446</v>
      </c>
      <c r="E114" s="6" t="n">
        <v>97.5203269157855</v>
      </c>
    </row>
    <row r="115">
      <c r="A115" s="12" t="n">
        <v>45079</v>
      </c>
      <c r="B115" s="6" t="n">
        <v>93.9179901627942</v>
      </c>
      <c r="C115" s="6" t="n">
        <v>112.690359453893</v>
      </c>
      <c r="D115" s="6" t="n">
        <v>103.608930573963</v>
      </c>
      <c r="E115" s="6" t="n">
        <v>97.603740995071</v>
      </c>
    </row>
    <row r="116">
      <c r="A116" s="12" t="n">
        <v>45082</v>
      </c>
      <c r="B116" s="6" t="n">
        <v>94.373416358909</v>
      </c>
      <c r="C116" s="6" t="n">
        <v>112.717169214271</v>
      </c>
      <c r="D116" s="6" t="n">
        <v>103.700683046182</v>
      </c>
      <c r="E116" s="6" t="n">
        <v>97.3442305261828</v>
      </c>
    </row>
    <row r="117">
      <c r="A117" s="12" t="n">
        <v>45083</v>
      </c>
      <c r="B117" s="6" t="n">
        <v>94.2367885000745</v>
      </c>
      <c r="C117" s="6" t="n">
        <v>113.351666876541</v>
      </c>
      <c r="D117" s="6" t="n">
        <v>103.761851360995</v>
      </c>
      <c r="E117" s="6" t="n">
        <v>97.1866705986435</v>
      </c>
    </row>
    <row r="118">
      <c r="A118" s="12" t="n">
        <v>45084</v>
      </c>
      <c r="B118" s="6" t="n">
        <v>94.0455094977063</v>
      </c>
      <c r="C118" s="6" t="n">
        <v>113.852115736923</v>
      </c>
      <c r="D118" s="6" t="n">
        <v>103.955551024569</v>
      </c>
      <c r="E118" s="6" t="n">
        <v>97.1403294434849</v>
      </c>
    </row>
    <row r="119">
      <c r="A119" s="12" t="n">
        <v>45085</v>
      </c>
      <c r="B119" s="6" t="n">
        <v>94.0637265455509</v>
      </c>
      <c r="C119" s="6" t="n">
        <v>114.039784059566</v>
      </c>
      <c r="D119" s="6" t="n">
        <v>104.241003160363</v>
      </c>
      <c r="E119" s="6" t="n">
        <v>96.9642330538821</v>
      </c>
    </row>
    <row r="120">
      <c r="A120" s="12" t="n">
        <v>45086</v>
      </c>
      <c r="B120" s="6" t="n">
        <v>93.8542304953381</v>
      </c>
      <c r="C120" s="6" t="n">
        <v>113.637637653902</v>
      </c>
      <c r="D120" s="6" t="n">
        <v>104.404118666531</v>
      </c>
      <c r="E120" s="6" t="n">
        <v>96.6861861229304</v>
      </c>
    </row>
    <row r="121">
      <c r="A121" s="12" t="n">
        <v>45089</v>
      </c>
      <c r="B121" s="6" t="n">
        <v>93.8542304953381</v>
      </c>
      <c r="C121" s="6" t="n">
        <v>114.352564597305</v>
      </c>
      <c r="D121" s="6" t="n">
        <v>104.312366194311</v>
      </c>
      <c r="E121" s="6" t="n">
        <v>96.4822850402326</v>
      </c>
    </row>
    <row r="122">
      <c r="A122" s="12" t="n">
        <v>45090</v>
      </c>
      <c r="B122" s="6" t="n">
        <v>93.8086878757266</v>
      </c>
      <c r="C122" s="6" t="n">
        <v>114.200642621832</v>
      </c>
      <c r="D122" s="6" t="n">
        <v>104.220613722092</v>
      </c>
      <c r="E122" s="6" t="n">
        <v>96.2413110334078</v>
      </c>
    </row>
    <row r="123">
      <c r="A123" s="12" t="n">
        <v>45091</v>
      </c>
      <c r="B123" s="6" t="n">
        <v>93.7176026365037</v>
      </c>
      <c r="C123" s="6" t="n">
        <v>114.710028069007</v>
      </c>
      <c r="D123" s="6" t="n">
        <v>104.526455296157</v>
      </c>
      <c r="E123" s="6" t="n">
        <v>96.1578969541223</v>
      </c>
    </row>
    <row r="124">
      <c r="A124" s="12" t="n">
        <v>45092</v>
      </c>
      <c r="B124" s="6" t="n">
        <v>93.7995793518043</v>
      </c>
      <c r="C124" s="6" t="n">
        <v>115.058554953916</v>
      </c>
      <c r="D124" s="6" t="n">
        <v>104.393923947395</v>
      </c>
      <c r="E124" s="6" t="n">
        <v>96.2413110334078</v>
      </c>
    </row>
    <row r="125">
      <c r="A125" s="12" t="n">
        <v>45093</v>
      </c>
      <c r="B125" s="6" t="n">
        <v>93.143765629399</v>
      </c>
      <c r="C125" s="6" t="n">
        <v>115.022808606745</v>
      </c>
      <c r="D125" s="6" t="n">
        <v>104.862881027628</v>
      </c>
      <c r="E125" s="6" t="n">
        <v>96.2413110334078</v>
      </c>
    </row>
    <row r="126">
      <c r="A126" s="12" t="n">
        <v>45096</v>
      </c>
      <c r="B126" s="6" t="n">
        <v>93.3988042992233</v>
      </c>
      <c r="C126" s="6" t="n">
        <v>115.380272078447</v>
      </c>
      <c r="D126" s="6" t="n">
        <v>105.240085635641</v>
      </c>
      <c r="E126" s="6" t="n">
        <v>96.0188734886464</v>
      </c>
    </row>
    <row r="127">
      <c r="A127" s="12" t="n">
        <v>45097</v>
      </c>
      <c r="B127" s="6" t="n">
        <v>93.4989980623686</v>
      </c>
      <c r="C127" s="6" t="n">
        <v>115.416018425617</v>
      </c>
      <c r="D127" s="6" t="n">
        <v>104.934244061576</v>
      </c>
      <c r="E127" s="6" t="n">
        <v>95.8149724059485</v>
      </c>
    </row>
    <row r="128">
      <c r="A128" s="12" t="n">
        <v>45098</v>
      </c>
      <c r="B128" s="6" t="n">
        <v>93.6265173972807</v>
      </c>
      <c r="C128" s="6" t="n">
        <v>115.138984235048</v>
      </c>
      <c r="D128" s="6" t="n">
        <v>105.199306759099</v>
      </c>
      <c r="E128" s="6" t="n">
        <v>95.7964359438851</v>
      </c>
    </row>
    <row r="129">
      <c r="A129" s="12" t="n">
        <v>45099</v>
      </c>
      <c r="B129" s="6" t="n">
        <v>93.4716724906017</v>
      </c>
      <c r="C129" s="6" t="n">
        <v>115.067491540708</v>
      </c>
      <c r="D129" s="6" t="n">
        <v>105.515343052299</v>
      </c>
      <c r="E129" s="6" t="n">
        <v>95.833508868012</v>
      </c>
    </row>
    <row r="130">
      <c r="A130" s="12" t="n">
        <v>45100</v>
      </c>
      <c r="B130" s="6" t="n">
        <v>93.9179901627942</v>
      </c>
      <c r="C130" s="6" t="n">
        <v>114.683218308629</v>
      </c>
      <c r="D130" s="6" t="n">
        <v>105.372616984402</v>
      </c>
      <c r="E130" s="6" t="n">
        <v>96.3432615747567</v>
      </c>
    </row>
    <row r="131">
      <c r="A131" s="12" t="n">
        <v>45103</v>
      </c>
      <c r="B131" s="6" t="n">
        <v>93.8724475431827</v>
      </c>
      <c r="C131" s="6" t="n">
        <v>115.639433095431</v>
      </c>
      <c r="D131" s="6" t="n">
        <v>105.912937098583</v>
      </c>
      <c r="E131" s="6" t="n">
        <v>95.5461937060286</v>
      </c>
    </row>
    <row r="132">
      <c r="A132" s="12" t="n">
        <v>45104</v>
      </c>
      <c r="B132" s="6" t="n">
        <v>93.7358196843482</v>
      </c>
      <c r="C132" s="6" t="n">
        <v>115.746672136941</v>
      </c>
      <c r="D132" s="6" t="n">
        <v>105.749821592415</v>
      </c>
      <c r="E132" s="6" t="n">
        <v>95.7408265576947</v>
      </c>
    </row>
    <row r="133">
      <c r="A133" s="12" t="n">
        <v>45105</v>
      </c>
      <c r="B133" s="6" t="n">
        <v>94.0910521173178</v>
      </c>
      <c r="C133" s="6" t="n">
        <v>116.005833153925</v>
      </c>
      <c r="D133" s="6" t="n">
        <v>105.178917320828</v>
      </c>
      <c r="E133" s="6" t="n">
        <v>95.5832666301554</v>
      </c>
    </row>
    <row r="134">
      <c r="A134" s="12" t="n">
        <v>45106</v>
      </c>
      <c r="B134" s="6" t="n">
        <v>94.0728350694732</v>
      </c>
      <c r="C134" s="6" t="n">
        <v>115.98795998034</v>
      </c>
      <c r="D134" s="6" t="n">
        <v>105.066775410337</v>
      </c>
      <c r="E134" s="6" t="n">
        <v>95.7408265576947</v>
      </c>
    </row>
    <row r="135">
      <c r="A135" s="12" t="n">
        <v>45107</v>
      </c>
      <c r="B135" s="6" t="n">
        <v>94.3825248828313</v>
      </c>
      <c r="C135" s="6" t="n">
        <v>116.211374650153</v>
      </c>
      <c r="D135" s="6" t="n">
        <v>105.189112039963</v>
      </c>
      <c r="E135" s="6" t="n">
        <v>95.5925348611872</v>
      </c>
    </row>
    <row r="136">
      <c r="A136" s="12" t="n">
        <v>45110</v>
      </c>
      <c r="B136" s="6" t="n">
        <v>94.2003544043854</v>
      </c>
      <c r="C136" s="6" t="n">
        <v>115.782418484111</v>
      </c>
      <c r="D136" s="6" t="n">
        <v>105.21969619737</v>
      </c>
      <c r="E136" s="6" t="n">
        <v>95.6481442473775</v>
      </c>
    </row>
    <row r="137">
      <c r="A137" s="12" t="n">
        <v>45111</v>
      </c>
      <c r="B137" s="6" t="n">
        <v>93.9635327824057</v>
      </c>
      <c r="C137" s="6" t="n">
        <v>116.20243806336</v>
      </c>
      <c r="D137" s="6" t="n">
        <v>105.352227546131</v>
      </c>
      <c r="E137" s="6" t="n">
        <v>95.9261911783292</v>
      </c>
    </row>
    <row r="138">
      <c r="A138" s="12" t="n">
        <v>45112</v>
      </c>
      <c r="B138" s="6" t="n">
        <v>94.2003544043854</v>
      </c>
      <c r="C138" s="6" t="n">
        <v>116.220311236945</v>
      </c>
      <c r="D138" s="6" t="n">
        <v>104.975022938118</v>
      </c>
      <c r="E138" s="6" t="n">
        <v>95.7500947887265</v>
      </c>
    </row>
    <row r="139">
      <c r="A139" s="12" t="n">
        <v>45113</v>
      </c>
      <c r="B139" s="6" t="n">
        <v>94.1183776890847</v>
      </c>
      <c r="C139" s="6" t="n">
        <v>116.122008782228</v>
      </c>
      <c r="D139" s="6" t="n">
        <v>104.81190743195</v>
      </c>
      <c r="E139" s="6" t="n">
        <v>95.8613135611071</v>
      </c>
    </row>
    <row r="140">
      <c r="A140" s="12" t="n">
        <v>45114</v>
      </c>
      <c r="B140" s="6" t="n">
        <v>94.4189589785205</v>
      </c>
      <c r="C140" s="6" t="n">
        <v>114.951315912405</v>
      </c>
      <c r="D140" s="6" t="n">
        <v>104.322560913447</v>
      </c>
      <c r="E140" s="6" t="n">
        <v>96.000337026583</v>
      </c>
    </row>
    <row r="141">
      <c r="A141" s="12" t="n">
        <v>45117</v>
      </c>
      <c r="B141" s="6" t="n">
        <v>94.0272924498617</v>
      </c>
      <c r="C141" s="6" t="n">
        <v>115.710925789771</v>
      </c>
      <c r="D141" s="6" t="n">
        <v>104.852686308492</v>
      </c>
      <c r="E141" s="6" t="n">
        <v>95.6574124784092</v>
      </c>
    </row>
    <row r="142">
      <c r="A142" s="12" t="n">
        <v>45118</v>
      </c>
      <c r="B142" s="6" t="n">
        <v>93.6265173972807</v>
      </c>
      <c r="C142" s="6" t="n">
        <v>115.800291657696</v>
      </c>
      <c r="D142" s="6" t="n">
        <v>104.689570802324</v>
      </c>
      <c r="E142" s="6" t="n">
        <v>95.7130218645996</v>
      </c>
    </row>
    <row r="143">
      <c r="A143" s="12" t="n">
        <v>45119</v>
      </c>
      <c r="B143" s="6" t="n">
        <v>93.3441531556895</v>
      </c>
      <c r="C143" s="6" t="n">
        <v>116.041579501095</v>
      </c>
      <c r="D143" s="6" t="n">
        <v>104.975022938118</v>
      </c>
      <c r="E143" s="6" t="n">
        <v>95.564730168092</v>
      </c>
    </row>
    <row r="144">
      <c r="A144" s="12" t="n">
        <v>45120</v>
      </c>
      <c r="B144" s="6" t="n">
        <v>92.5517115744498</v>
      </c>
      <c r="C144" s="6" t="n">
        <v>116.13094536902</v>
      </c>
      <c r="D144" s="6" t="n">
        <v>105.076970129473</v>
      </c>
      <c r="E144" s="6" t="n">
        <v>95.0920503854742</v>
      </c>
    </row>
    <row r="145">
      <c r="A145" s="12" t="n">
        <v>45121</v>
      </c>
      <c r="B145" s="6" t="n">
        <v>92.3148899524701</v>
      </c>
      <c r="C145" s="6" t="n">
        <v>116.238184410531</v>
      </c>
      <c r="D145" s="6" t="n">
        <v>105.229890916505</v>
      </c>
      <c r="E145" s="6" t="n">
        <v>95.3052196992038</v>
      </c>
    </row>
    <row r="146">
      <c r="A146" s="12" t="n">
        <v>45124</v>
      </c>
      <c r="B146" s="6" t="n">
        <v>92.3968666677707</v>
      </c>
      <c r="C146" s="6" t="n">
        <v>117.060350395444</v>
      </c>
      <c r="D146" s="6" t="n">
        <v>104.506065857886</v>
      </c>
      <c r="E146" s="6" t="n">
        <v>94.9344904579349</v>
      </c>
    </row>
    <row r="147">
      <c r="A147" s="12" t="n">
        <v>45125</v>
      </c>
      <c r="B147" s="6" t="n">
        <v>92.2693473328586</v>
      </c>
      <c r="C147" s="6" t="n">
        <v>117.551862669033</v>
      </c>
      <c r="D147" s="6" t="n">
        <v>104.567234172699</v>
      </c>
      <c r="E147" s="6" t="n">
        <v>94.6657117580149</v>
      </c>
    </row>
    <row r="148">
      <c r="A148" s="12" t="n">
        <v>45126</v>
      </c>
      <c r="B148" s="6" t="n">
        <v>92.6336882897504</v>
      </c>
      <c r="C148" s="6" t="n">
        <v>117.382067519975</v>
      </c>
      <c r="D148" s="6" t="n">
        <v>104.944438780712</v>
      </c>
      <c r="E148" s="6" t="n">
        <v>94.396933058095</v>
      </c>
    </row>
    <row r="149">
      <c r="A149" s="12" t="n">
        <v>45127</v>
      </c>
      <c r="B149" s="6" t="n">
        <v>92.5061689548383</v>
      </c>
      <c r="C149" s="6" t="n">
        <v>117.078223569029</v>
      </c>
      <c r="D149" s="6" t="n">
        <v>105.209501478234</v>
      </c>
      <c r="E149" s="6" t="n">
        <v>95.1383915406328</v>
      </c>
    </row>
    <row r="150">
      <c r="A150" s="12" t="n">
        <v>45128</v>
      </c>
      <c r="B150" s="6" t="n">
        <v>93.0435718662538</v>
      </c>
      <c r="C150" s="6" t="n">
        <v>116.256057584116</v>
      </c>
      <c r="D150" s="6" t="n">
        <v>105.117749006015</v>
      </c>
      <c r="E150" s="6" t="n">
        <v>95.5276572439651</v>
      </c>
    </row>
    <row r="151">
      <c r="A151" s="12" t="n">
        <v>45131</v>
      </c>
      <c r="B151" s="6" t="n">
        <v>93.0162462944869</v>
      </c>
      <c r="C151" s="6" t="n">
        <v>116.738633270913</v>
      </c>
      <c r="D151" s="6" t="n">
        <v>105.097359567744</v>
      </c>
      <c r="E151" s="6" t="n">
        <v>95.4071702405527</v>
      </c>
    </row>
    <row r="152">
      <c r="A152" s="12" t="n">
        <v>45132</v>
      </c>
      <c r="B152" s="6" t="n">
        <v>92.8887269595747</v>
      </c>
      <c r="C152" s="6" t="n">
        <v>117.167589436954</v>
      </c>
      <c r="D152" s="6" t="n">
        <v>105.12794372515</v>
      </c>
      <c r="E152" s="6" t="n">
        <v>96.0559464127733</v>
      </c>
    </row>
    <row r="153">
      <c r="A153" s="12" t="n">
        <v>45133</v>
      </c>
      <c r="B153" s="6" t="n">
        <v>92.9342695791862</v>
      </c>
      <c r="C153" s="6" t="n">
        <v>116.649267402987</v>
      </c>
      <c r="D153" s="6" t="n">
        <v>104.791517993679</v>
      </c>
      <c r="E153" s="6" t="n">
        <v>95.7871677128533</v>
      </c>
    </row>
    <row r="154">
      <c r="A154" s="12" t="n">
        <v>45134</v>
      </c>
      <c r="B154" s="6" t="n">
        <v>92.6336882897504</v>
      </c>
      <c r="C154" s="6" t="n">
        <v>117.22120895771</v>
      </c>
      <c r="D154" s="6" t="n">
        <v>105.036191252931</v>
      </c>
      <c r="E154" s="6" t="n">
        <v>95.6574124784092</v>
      </c>
    </row>
    <row r="155">
      <c r="A155" s="12" t="n">
        <v>45135</v>
      </c>
      <c r="B155" s="6" t="n">
        <v>92.897835483497</v>
      </c>
      <c r="C155" s="6" t="n">
        <v>117.918262727528</v>
      </c>
      <c r="D155" s="6" t="n">
        <v>104.81190743195</v>
      </c>
      <c r="E155" s="6" t="n">
        <v>95.8149724059485</v>
      </c>
    </row>
    <row r="156">
      <c r="A156" s="12" t="n">
        <v>45138</v>
      </c>
      <c r="B156" s="6" t="n">
        <v>92.9615951509531</v>
      </c>
      <c r="C156" s="6" t="n">
        <v>118.016565182245</v>
      </c>
      <c r="D156" s="6" t="n">
        <v>104.873075746763</v>
      </c>
      <c r="E156" s="6" t="n">
        <v>96.0930193369002</v>
      </c>
    </row>
    <row r="157">
      <c r="A157" s="12" t="n">
        <v>45139</v>
      </c>
      <c r="B157" s="6" t="n">
        <v>93.3805872513787</v>
      </c>
      <c r="C157" s="6" t="n">
        <v>117.560799255826</v>
      </c>
      <c r="D157" s="6" t="n">
        <v>104.546844734428</v>
      </c>
      <c r="E157" s="6" t="n">
        <v>96.2783839575347</v>
      </c>
    </row>
    <row r="158">
      <c r="A158" s="12" t="n">
        <v>45140</v>
      </c>
      <c r="B158" s="6" t="n">
        <v>93.5354321580577</v>
      </c>
      <c r="C158" s="6" t="n">
        <v>117.185462610539</v>
      </c>
      <c r="D158" s="6" t="n">
        <v>104.373534509124</v>
      </c>
      <c r="E158" s="6" t="n">
        <v>96.2783839575347</v>
      </c>
    </row>
    <row r="159">
      <c r="A159" s="12" t="n">
        <v>45141</v>
      </c>
      <c r="B159" s="6" t="n">
        <v>94.0637265455509</v>
      </c>
      <c r="C159" s="6" t="n">
        <v>114.89769639165</v>
      </c>
      <c r="D159" s="6" t="n">
        <v>104.108471811602</v>
      </c>
      <c r="E159" s="6" t="n">
        <v>96.7139908160256</v>
      </c>
    </row>
    <row r="160">
      <c r="A160" s="12" t="n">
        <v>45142</v>
      </c>
      <c r="B160" s="6" t="n">
        <v>94.2003544043854</v>
      </c>
      <c r="C160" s="6" t="n">
        <v>114.352564597305</v>
      </c>
      <c r="D160" s="6" t="n">
        <v>104.088082373331</v>
      </c>
      <c r="E160" s="6" t="n">
        <v>96.5842355815815</v>
      </c>
    </row>
    <row r="161">
      <c r="A161" s="12" t="n">
        <v>45145</v>
      </c>
      <c r="B161" s="6" t="n">
        <v>93.8906645910273</v>
      </c>
      <c r="C161" s="6" t="n">
        <v>115.943277046377</v>
      </c>
      <c r="D161" s="6" t="n">
        <v>104.026914058518</v>
      </c>
      <c r="E161" s="6" t="n">
        <v>96.3432615747567</v>
      </c>
    </row>
    <row r="162">
      <c r="A162" s="12" t="n">
        <v>45146</v>
      </c>
      <c r="B162" s="6" t="n">
        <v>94.4007419306759</v>
      </c>
      <c r="C162" s="6" t="n">
        <v>115.362398904862</v>
      </c>
      <c r="D162" s="6" t="n">
        <v>103.384646752982</v>
      </c>
      <c r="E162" s="6" t="n">
        <v>96.4822850402326</v>
      </c>
    </row>
    <row r="163">
      <c r="A163" s="12" t="n">
        <v>45147</v>
      </c>
      <c r="B163" s="6" t="n">
        <v>94.2458970239968</v>
      </c>
      <c r="C163" s="6" t="n">
        <v>115.576876987883</v>
      </c>
      <c r="D163" s="6" t="n">
        <v>103.649709450505</v>
      </c>
      <c r="E163" s="6" t="n">
        <v>96.4822850402326</v>
      </c>
    </row>
    <row r="164">
      <c r="A164" s="12" t="n">
        <v>45148</v>
      </c>
      <c r="B164" s="6" t="n">
        <v>93.9999668780948</v>
      </c>
      <c r="C164" s="6" t="n">
        <v>116.434789319966</v>
      </c>
      <c r="D164" s="6" t="n">
        <v>103.86379855235</v>
      </c>
      <c r="E164" s="6" t="n">
        <v>96.2876521885664</v>
      </c>
    </row>
    <row r="165">
      <c r="A165" s="12" t="n">
        <v>45149</v>
      </c>
      <c r="B165" s="6" t="n">
        <v>94.2276799761522</v>
      </c>
      <c r="C165" s="6" t="n">
        <v>116.65820398978</v>
      </c>
      <c r="D165" s="6" t="n">
        <v>103.639514731369</v>
      </c>
      <c r="E165" s="6" t="n">
        <v>96.2135063403126</v>
      </c>
    </row>
    <row r="166">
      <c r="A166" s="12" t="n">
        <v>45152</v>
      </c>
      <c r="B166" s="6" t="n">
        <v>94.6557806005002</v>
      </c>
      <c r="C166" s="6" t="n">
        <v>116.72969668412</v>
      </c>
      <c r="D166" s="6" t="n">
        <v>103.802630237537</v>
      </c>
      <c r="E166" s="6" t="n">
        <v>96.2876521885664</v>
      </c>
    </row>
    <row r="167">
      <c r="A167" s="12" t="n">
        <v>45153</v>
      </c>
      <c r="B167" s="6" t="n">
        <v>94.9381448420913</v>
      </c>
      <c r="C167" s="6" t="n">
        <v>116.264994170908</v>
      </c>
      <c r="D167" s="6" t="n">
        <v>103.588541135692</v>
      </c>
      <c r="E167" s="6" t="n">
        <v>96.1486287230905</v>
      </c>
    </row>
    <row r="168">
      <c r="A168" s="12" t="n">
        <v>45154</v>
      </c>
      <c r="B168" s="6" t="n">
        <v>94.9199277942467</v>
      </c>
      <c r="C168" s="6" t="n">
        <v>116.631394229402</v>
      </c>
      <c r="D168" s="6" t="n">
        <v>103.608930573963</v>
      </c>
      <c r="E168" s="6" t="n">
        <v>95.9539958714244</v>
      </c>
    </row>
    <row r="169">
      <c r="A169" s="12" t="n">
        <v>45155</v>
      </c>
      <c r="B169" s="6" t="n">
        <v>94.9199277942467</v>
      </c>
      <c r="C169" s="6" t="n">
        <v>116.62245764261</v>
      </c>
      <c r="D169" s="6" t="n">
        <v>103.496788663472</v>
      </c>
      <c r="E169" s="6" t="n">
        <v>96.1764334161857</v>
      </c>
    </row>
    <row r="170">
      <c r="A170" s="12" t="n">
        <v>45156</v>
      </c>
      <c r="B170" s="6" t="n">
        <v>95.0474471291589</v>
      </c>
      <c r="C170" s="6" t="n">
        <v>116.69395033695</v>
      </c>
      <c r="D170" s="6" t="n">
        <v>103.129778774595</v>
      </c>
      <c r="E170" s="6" t="n">
        <v>96.167165185154</v>
      </c>
    </row>
    <row r="171">
      <c r="A171" s="12" t="n">
        <v>45159</v>
      </c>
      <c r="B171" s="6" t="n">
        <v>94.8743851746353</v>
      </c>
      <c r="C171" s="6" t="n">
        <v>116.836935725631</v>
      </c>
      <c r="D171" s="6" t="n">
        <v>103.527372820879</v>
      </c>
      <c r="E171" s="6" t="n">
        <v>96.1022875679319</v>
      </c>
    </row>
    <row r="172">
      <c r="A172" s="12" t="n">
        <v>45160</v>
      </c>
      <c r="B172" s="6" t="n">
        <v>94.8197340311015</v>
      </c>
      <c r="C172" s="6" t="n">
        <v>117.712721231299</v>
      </c>
      <c r="D172" s="6" t="n">
        <v>103.354062595575</v>
      </c>
      <c r="E172" s="6" t="n">
        <v>95.9818005645195</v>
      </c>
    </row>
    <row r="173">
      <c r="A173" s="12" t="n">
        <v>45161</v>
      </c>
      <c r="B173" s="6" t="n">
        <v>95.0292300813143</v>
      </c>
      <c r="C173" s="6" t="n">
        <v>118.096994463378</v>
      </c>
      <c r="D173" s="6" t="n">
        <v>103.02783158324</v>
      </c>
      <c r="E173" s="6" t="n">
        <v>96.1949698782492</v>
      </c>
    </row>
    <row r="174">
      <c r="A174" s="12" t="n">
        <v>45162</v>
      </c>
      <c r="B174" s="6" t="n">
        <v>94.7650828875677</v>
      </c>
      <c r="C174" s="6" t="n">
        <v>118.320409133192</v>
      </c>
      <c r="D174" s="6" t="n">
        <v>103.099194617188</v>
      </c>
      <c r="E174" s="6" t="n">
        <v>96.0559464127733</v>
      </c>
    </row>
    <row r="175">
      <c r="A175" s="12" t="n">
        <v>45163</v>
      </c>
      <c r="B175" s="6" t="n">
        <v>94.8470596028684</v>
      </c>
      <c r="C175" s="6" t="n">
        <v>118.829794580366</v>
      </c>
      <c r="D175" s="6" t="n">
        <v>102.93607911102</v>
      </c>
      <c r="E175" s="6" t="n">
        <v>96.0466781817416</v>
      </c>
    </row>
    <row r="176">
      <c r="A176" s="12" t="n">
        <v>45166</v>
      </c>
      <c r="B176" s="6" t="n">
        <v>94.8834936985576</v>
      </c>
      <c r="C176" s="6" t="n">
        <v>119.374926374711</v>
      </c>
      <c r="D176" s="6" t="n">
        <v>102.803547762259</v>
      </c>
      <c r="E176" s="6" t="n">
        <v>96.1022875679319</v>
      </c>
    </row>
    <row r="177">
      <c r="A177" s="12" t="n">
        <v>45167</v>
      </c>
      <c r="B177" s="6" t="n">
        <v>95.020121557392</v>
      </c>
      <c r="C177" s="6" t="n">
        <v>118.838731167159</v>
      </c>
      <c r="D177" s="6" t="n">
        <v>102.599653379549</v>
      </c>
      <c r="E177" s="6" t="n">
        <v>96.1764334161857</v>
      </c>
    </row>
    <row r="178">
      <c r="A178" s="12" t="n">
        <v>45168</v>
      </c>
      <c r="B178" s="6" t="n">
        <v>94.6922146961893</v>
      </c>
      <c r="C178" s="6" t="n">
        <v>118.785111646404</v>
      </c>
      <c r="D178" s="6" t="n">
        <v>102.946273830156</v>
      </c>
      <c r="E178" s="6" t="n">
        <v>95.9169229472975</v>
      </c>
    </row>
    <row r="179">
      <c r="A179" s="12" t="n">
        <v>45169</v>
      </c>
      <c r="B179" s="6" t="n">
        <v>94.6739976483447</v>
      </c>
      <c r="C179" s="6" t="n">
        <v>118.990653142632</v>
      </c>
      <c r="D179" s="6" t="n">
        <v>103.078805178917</v>
      </c>
      <c r="E179" s="6" t="n">
        <v>95.9539958714244</v>
      </c>
    </row>
    <row r="180">
      <c r="A180" s="12" t="n">
        <v>45170</v>
      </c>
      <c r="B180" s="6" t="n">
        <v>94.8288425550238</v>
      </c>
      <c r="C180" s="6" t="n">
        <v>116.533091774684</v>
      </c>
      <c r="D180" s="6" t="n">
        <v>103.364257314711</v>
      </c>
      <c r="E180" s="6" t="n">
        <v>96.3896027299153</v>
      </c>
    </row>
    <row r="181">
      <c r="A181" s="12" t="n">
        <v>45173</v>
      </c>
      <c r="B181" s="6" t="n">
        <v>95.1020982726926</v>
      </c>
      <c r="C181" s="6" t="n">
        <v>116.756506444498</v>
      </c>
      <c r="D181" s="6" t="n">
        <v>102.854521357937</v>
      </c>
      <c r="E181" s="6" t="n">
        <v>96.4359438850739</v>
      </c>
    </row>
    <row r="182">
      <c r="A182" s="12" t="n">
        <v>45174</v>
      </c>
      <c r="B182" s="6" t="n">
        <v>95.7032608515642</v>
      </c>
      <c r="C182" s="6" t="n">
        <v>115.782418484111</v>
      </c>
      <c r="D182" s="6" t="n">
        <v>102.701600570904</v>
      </c>
      <c r="E182" s="6" t="n">
        <v>96.500821502296</v>
      </c>
    </row>
    <row r="183">
      <c r="A183" s="12" t="n">
        <v>45175</v>
      </c>
      <c r="B183" s="6" t="n">
        <v>95.8854313300101</v>
      </c>
      <c r="C183" s="6" t="n">
        <v>113.914671844471</v>
      </c>
      <c r="D183" s="6" t="n">
        <v>102.864716077072</v>
      </c>
      <c r="E183" s="6" t="n">
        <v>96.5286261953912</v>
      </c>
    </row>
    <row r="184">
      <c r="A184" s="12" t="n">
        <v>45176</v>
      </c>
      <c r="B184" s="6" t="n">
        <v>96.0584932845337</v>
      </c>
      <c r="C184" s="6" t="n">
        <v>114.620662201081</v>
      </c>
      <c r="D184" s="6" t="n">
        <v>102.864716077072</v>
      </c>
      <c r="E184" s="6" t="n">
        <v>96.3896027299153</v>
      </c>
    </row>
    <row r="185">
      <c r="A185" s="12" t="n">
        <v>45177</v>
      </c>
      <c r="B185" s="6" t="n">
        <v>96.1131444280675</v>
      </c>
      <c r="C185" s="6" t="n">
        <v>114.540232919948</v>
      </c>
      <c r="D185" s="6" t="n">
        <v>102.854521357937</v>
      </c>
      <c r="E185" s="6" t="n">
        <v>96.2598474954712</v>
      </c>
    </row>
    <row r="186">
      <c r="A186" s="12" t="n">
        <v>45180</v>
      </c>
      <c r="B186" s="6" t="n">
        <v>95.8489972343209</v>
      </c>
      <c r="C186" s="6" t="n">
        <v>113.816369389753</v>
      </c>
      <c r="D186" s="6" t="n">
        <v>103.333673157305</v>
      </c>
      <c r="E186" s="6" t="n">
        <v>96.667649660867</v>
      </c>
    </row>
    <row r="187">
      <c r="A187" s="12" t="n">
        <v>45181</v>
      </c>
      <c r="B187" s="6" t="n">
        <v>95.7305864233311</v>
      </c>
      <c r="C187" s="6" t="n">
        <v>115.255159863351</v>
      </c>
      <c r="D187" s="6" t="n">
        <v>103.292894280763</v>
      </c>
      <c r="E187" s="6" t="n">
        <v>96.7417955091208</v>
      </c>
    </row>
    <row r="188">
      <c r="A188" s="12" t="n">
        <v>45182</v>
      </c>
      <c r="B188" s="6" t="n">
        <v>95.6121756123412</v>
      </c>
      <c r="C188" s="6" t="n">
        <v>115.719862376563</v>
      </c>
      <c r="D188" s="6" t="n">
        <v>103.394841472117</v>
      </c>
      <c r="E188" s="6" t="n">
        <v>96.8437460504697</v>
      </c>
    </row>
    <row r="189">
      <c r="A189" s="12" t="n">
        <v>45183</v>
      </c>
      <c r="B189" s="6" t="n">
        <v>95.4664392295845</v>
      </c>
      <c r="C189" s="6" t="n">
        <v>116.363296625626</v>
      </c>
      <c r="D189" s="6" t="n">
        <v>103.680293607911</v>
      </c>
      <c r="E189" s="6" t="n">
        <v>96.8252095884063</v>
      </c>
    </row>
    <row r="190">
      <c r="A190" s="12" t="n">
        <v>45184</v>
      </c>
      <c r="B190" s="6" t="n">
        <v>95.5939585644966</v>
      </c>
      <c r="C190" s="6" t="n">
        <v>116.819062552045</v>
      </c>
      <c r="D190" s="6" t="n">
        <v>103.741461922724</v>
      </c>
      <c r="E190" s="6" t="n">
        <v>97.0383789021359</v>
      </c>
    </row>
    <row r="191">
      <c r="A191" s="12" t="n">
        <v>45187</v>
      </c>
      <c r="B191" s="6" t="n">
        <v>95.6395011841081</v>
      </c>
      <c r="C191" s="6" t="n">
        <v>116.935238180348</v>
      </c>
      <c r="D191" s="6" t="n">
        <v>103.894382709756</v>
      </c>
      <c r="E191" s="6" t="n">
        <v>96.7881366642794</v>
      </c>
    </row>
    <row r="192">
      <c r="A192" s="12" t="n">
        <v>45188</v>
      </c>
      <c r="B192" s="6" t="n">
        <v>95.4300051338953</v>
      </c>
      <c r="C192" s="6" t="n">
        <v>116.890555246386</v>
      </c>
      <c r="D192" s="6" t="n">
        <v>104.506065857886</v>
      </c>
      <c r="E192" s="6" t="n">
        <v>96.7232590470573</v>
      </c>
    </row>
    <row r="193">
      <c r="A193" s="12" t="n">
        <v>45189</v>
      </c>
      <c r="B193" s="6" t="n">
        <v>95.4573307056622</v>
      </c>
      <c r="C193" s="6" t="n">
        <v>117.265891891672</v>
      </c>
      <c r="D193" s="6" t="n">
        <v>104.465286981344</v>
      </c>
      <c r="E193" s="6" t="n">
        <v>96.7325272780891</v>
      </c>
    </row>
    <row r="194">
      <c r="A194" s="12" t="n">
        <v>45190</v>
      </c>
      <c r="B194" s="6" t="n">
        <v>95.9036483778547</v>
      </c>
      <c r="C194" s="6" t="n">
        <v>116.685013750157</v>
      </c>
      <c r="D194" s="6" t="n">
        <v>103.986135181976</v>
      </c>
      <c r="E194" s="6" t="n">
        <v>96.9642330538821</v>
      </c>
    </row>
    <row r="195">
      <c r="A195" s="12" t="n">
        <v>45191</v>
      </c>
      <c r="B195" s="6" t="n">
        <v>95.7761290429426</v>
      </c>
      <c r="C195" s="6" t="n">
        <v>116.586711295439</v>
      </c>
      <c r="D195" s="6" t="n">
        <v>104.546844734428</v>
      </c>
      <c r="E195" s="6" t="n">
        <v>96.8715507435649</v>
      </c>
    </row>
    <row r="196">
      <c r="A196" s="12" t="n">
        <v>45194</v>
      </c>
      <c r="B196" s="6" t="n">
        <v>95.9674080453108</v>
      </c>
      <c r="C196" s="6" t="n">
        <v>116.13094536902</v>
      </c>
      <c r="D196" s="6" t="n">
        <v>104.434702823937</v>
      </c>
      <c r="E196" s="6" t="n">
        <v>96.936428360787</v>
      </c>
    </row>
    <row r="197">
      <c r="A197" s="12" t="n">
        <v>45195</v>
      </c>
      <c r="B197" s="6" t="n">
        <v>96.3044234304357</v>
      </c>
      <c r="C197" s="6" t="n">
        <v>114.987062259575</v>
      </c>
      <c r="D197" s="6" t="n">
        <v>104.241003160363</v>
      </c>
      <c r="E197" s="6" t="n">
        <v>97.2144752917387</v>
      </c>
    </row>
    <row r="198">
      <c r="A198" s="12" t="n">
        <v>45196</v>
      </c>
      <c r="B198" s="6" t="n">
        <v>96.6960899590945</v>
      </c>
      <c r="C198" s="6" t="n">
        <v>113.896798670886</v>
      </c>
      <c r="D198" s="6" t="n">
        <v>104.200224283821</v>
      </c>
      <c r="E198" s="6" t="n">
        <v>97.5203269157855</v>
      </c>
    </row>
    <row r="199">
      <c r="A199" s="12" t="n">
        <v>45197</v>
      </c>
      <c r="B199" s="6" t="n">
        <v>96.650547339483</v>
      </c>
      <c r="C199" s="6" t="n">
        <v>113.718066935035</v>
      </c>
      <c r="D199" s="6" t="n">
        <v>104.577428891834</v>
      </c>
      <c r="E199" s="6" t="n">
        <v>97.603740995071</v>
      </c>
    </row>
    <row r="200">
      <c r="A200" s="12" t="n">
        <v>45198</v>
      </c>
      <c r="B200" s="6" t="n">
        <v>96.2679893347465</v>
      </c>
      <c r="C200" s="6" t="n">
        <v>114.718964655799</v>
      </c>
      <c r="D200" s="6" t="n">
        <v>104.801712712815</v>
      </c>
      <c r="E200" s="6" t="n">
        <v>97.334962295151</v>
      </c>
    </row>
    <row r="201">
      <c r="A201" s="12" t="n">
        <v>45201</v>
      </c>
      <c r="B201" s="6" t="n">
        <v>96.7143070069391</v>
      </c>
      <c r="C201" s="6" t="n">
        <v>114.549169506741</v>
      </c>
      <c r="D201" s="6" t="n">
        <v>103.537567540014</v>
      </c>
      <c r="E201" s="6" t="n">
        <v>97.7334962295151</v>
      </c>
    </row>
    <row r="202">
      <c r="A202" s="12" t="n">
        <v>45202</v>
      </c>
      <c r="B202" s="6" t="n">
        <v>97.2334928705099</v>
      </c>
      <c r="C202" s="6" t="n">
        <v>113.155061967105</v>
      </c>
      <c r="D202" s="6" t="n">
        <v>102.925884391885</v>
      </c>
      <c r="E202" s="6" t="n">
        <v>98.1320301638792</v>
      </c>
    </row>
    <row r="203">
      <c r="A203" s="12" t="n">
        <v>45203</v>
      </c>
      <c r="B203" s="6" t="n">
        <v>97.2517099183545</v>
      </c>
      <c r="C203" s="6" t="n">
        <v>111.912876402943</v>
      </c>
      <c r="D203" s="6" t="n">
        <v>103.007442144969</v>
      </c>
      <c r="E203" s="6" t="n">
        <v>97.9930066984033</v>
      </c>
    </row>
    <row r="204">
      <c r="A204" s="12" t="n">
        <v>45204</v>
      </c>
      <c r="B204" s="6" t="n">
        <v>97.2699269661991</v>
      </c>
      <c r="C204" s="6" t="n">
        <v>111.171139699162</v>
      </c>
      <c r="D204" s="6" t="n">
        <v>102.640432256091</v>
      </c>
      <c r="E204" s="6" t="n">
        <v>97.8725196949909</v>
      </c>
    </row>
    <row r="205">
      <c r="A205" s="12" t="n">
        <v>45205</v>
      </c>
      <c r="B205" s="6" t="n">
        <v>97.3063610618883</v>
      </c>
      <c r="C205" s="6" t="n">
        <v>109.884271201037</v>
      </c>
      <c r="D205" s="6" t="n">
        <v>102.925884391885</v>
      </c>
      <c r="E205" s="6" t="n">
        <v>97.7242279984834</v>
      </c>
    </row>
    <row r="206">
      <c r="A206" s="12" t="n">
        <v>45208</v>
      </c>
      <c r="B206" s="6" t="n">
        <v>97.3336866336552</v>
      </c>
      <c r="C206" s="6" t="n">
        <v>109.920017548207</v>
      </c>
      <c r="D206" s="6" t="n">
        <v>103.435620348659</v>
      </c>
      <c r="E206" s="6" t="n">
        <v>98.0578843156254</v>
      </c>
    </row>
    <row r="207">
      <c r="A207" s="12" t="n">
        <v>45209</v>
      </c>
      <c r="B207" s="6" t="n">
        <v>97.0968650116755</v>
      </c>
      <c r="C207" s="6" t="n">
        <v>110.295354193493</v>
      </c>
      <c r="D207" s="6" t="n">
        <v>103.792435518401</v>
      </c>
      <c r="E207" s="6" t="n">
        <v>97.7427644605468</v>
      </c>
    </row>
    <row r="208">
      <c r="A208" s="12" t="n">
        <v>45210</v>
      </c>
      <c r="B208" s="6" t="n">
        <v>96.7143070069391</v>
      </c>
      <c r="C208" s="6" t="n">
        <v>112.180974006719</v>
      </c>
      <c r="D208" s="6" t="n">
        <v>103.54776225915</v>
      </c>
      <c r="E208" s="6" t="n">
        <v>97.4183763744365</v>
      </c>
    </row>
    <row r="209">
      <c r="A209" s="12" t="n">
        <v>45211</v>
      </c>
      <c r="B209" s="6" t="n">
        <v>96.5867876720269</v>
      </c>
      <c r="C209" s="6" t="n">
        <v>112.752915561441</v>
      </c>
      <c r="D209" s="6" t="n">
        <v>103.598735854827</v>
      </c>
      <c r="E209" s="6" t="n">
        <v>97.3998399123731</v>
      </c>
    </row>
    <row r="210">
      <c r="A210" s="12" t="n">
        <v>45212</v>
      </c>
      <c r="B210" s="6" t="n">
        <v>97.1241905834424</v>
      </c>
      <c r="C210" s="6" t="n">
        <v>111.966495923698</v>
      </c>
      <c r="D210" s="6" t="n">
        <v>103.170557651137</v>
      </c>
      <c r="E210" s="6" t="n">
        <v>97.7427644605468</v>
      </c>
    </row>
    <row r="211">
      <c r="A211" s="12" t="n">
        <v>45215</v>
      </c>
      <c r="B211" s="6" t="n">
        <v>97.0786479638309</v>
      </c>
      <c r="C211" s="6" t="n">
        <v>111.769891014262</v>
      </c>
      <c r="D211" s="6" t="n">
        <v>103.568151697421</v>
      </c>
      <c r="E211" s="6" t="n">
        <v>97.6408139191979</v>
      </c>
    </row>
    <row r="212">
      <c r="A212" s="12" t="n">
        <v>45216</v>
      </c>
      <c r="B212" s="6" t="n">
        <v>97.0057797724525</v>
      </c>
      <c r="C212" s="6" t="n">
        <v>111.912876402943</v>
      </c>
      <c r="D212" s="6" t="n">
        <v>103.466204506066</v>
      </c>
      <c r="E212" s="6" t="n">
        <v>97.5573998399124</v>
      </c>
    </row>
    <row r="213">
      <c r="A213" s="12" t="n">
        <v>45217</v>
      </c>
      <c r="B213" s="6" t="n">
        <v>97.0786479638309</v>
      </c>
      <c r="C213" s="6" t="n">
        <v>111.492856823693</v>
      </c>
      <c r="D213" s="6" t="n">
        <v>103.354062595575</v>
      </c>
      <c r="E213" s="6" t="n">
        <v>97.5573998399124</v>
      </c>
    </row>
    <row r="214">
      <c r="A214" s="12" t="n">
        <v>45218</v>
      </c>
      <c r="B214" s="6" t="n">
        <v>97.4885315403342</v>
      </c>
      <c r="C214" s="6" t="n">
        <v>109.526807729335</v>
      </c>
      <c r="D214" s="6" t="n">
        <v>103.007442144969</v>
      </c>
      <c r="E214" s="6" t="n">
        <v>97.7798373846737</v>
      </c>
    </row>
    <row r="215">
      <c r="A215" s="12" t="n">
        <v>45219</v>
      </c>
      <c r="B215" s="6" t="n">
        <v>97.3792292532667</v>
      </c>
      <c r="C215" s="6" t="n">
        <v>109.410632101032</v>
      </c>
      <c r="D215" s="6" t="n">
        <v>103.23172596595</v>
      </c>
      <c r="E215" s="6" t="n">
        <v>97.6315456881662</v>
      </c>
    </row>
    <row r="216">
      <c r="A216" s="12" t="n">
        <v>45222</v>
      </c>
      <c r="B216" s="6" t="n">
        <v>97.4065548250335</v>
      </c>
      <c r="C216" s="6" t="n">
        <v>109.464251621787</v>
      </c>
      <c r="D216" s="6" t="n">
        <v>102.93607911102</v>
      </c>
      <c r="E216" s="6" t="n">
        <v>97.6500821502296</v>
      </c>
    </row>
    <row r="217">
      <c r="A217" s="12" t="n">
        <v>45223</v>
      </c>
      <c r="B217" s="6" t="n">
        <v>97.0695394399086</v>
      </c>
      <c r="C217" s="6" t="n">
        <v>110.491959102929</v>
      </c>
      <c r="D217" s="6" t="n">
        <v>102.976857987562</v>
      </c>
      <c r="E217" s="6" t="n">
        <v>97.4461810675317</v>
      </c>
    </row>
    <row r="218">
      <c r="A218" s="12" t="n">
        <v>45224</v>
      </c>
      <c r="B218" s="6" t="n">
        <v>97.3792292532667</v>
      </c>
      <c r="C218" s="6" t="n">
        <v>109.902144374622</v>
      </c>
      <c r="D218" s="6" t="n">
        <v>102.671016413498</v>
      </c>
      <c r="E218" s="6" t="n">
        <v>97.5759363019758</v>
      </c>
    </row>
    <row r="219">
      <c r="A219" s="12" t="n">
        <v>45225</v>
      </c>
      <c r="B219" s="6" t="n">
        <v>97.6615934948578</v>
      </c>
      <c r="C219" s="6" t="n">
        <v>109.294456472729</v>
      </c>
      <c r="D219" s="6" t="n">
        <v>102.314201243756</v>
      </c>
      <c r="E219" s="6" t="n">
        <v>97.7798373846737</v>
      </c>
    </row>
    <row r="220">
      <c r="A220" s="12" t="n">
        <v>45226</v>
      </c>
      <c r="B220" s="6" t="n">
        <v>97.3974463011112</v>
      </c>
      <c r="C220" s="6" t="n">
        <v>111.108583591614</v>
      </c>
      <c r="D220" s="6" t="n">
        <v>102.171475175859</v>
      </c>
      <c r="E220" s="6" t="n">
        <v>97.6778868433248</v>
      </c>
    </row>
    <row r="221">
      <c r="A221" s="12" t="n">
        <v>45229</v>
      </c>
      <c r="B221" s="6" t="n">
        <v>97.1697332030539</v>
      </c>
      <c r="C221" s="6" t="n">
        <v>111.331998261428</v>
      </c>
      <c r="D221" s="6" t="n">
        <v>101.98797023142</v>
      </c>
      <c r="E221" s="6" t="n">
        <v>97.4183763744365</v>
      </c>
    </row>
    <row r="222">
      <c r="A222" s="12" t="n">
        <v>45230</v>
      </c>
      <c r="B222" s="6" t="n">
        <v>97.2426013944322</v>
      </c>
      <c r="C222" s="6" t="n">
        <v>111.314125087843</v>
      </c>
      <c r="D222" s="6" t="n">
        <v>101.855438882659</v>
      </c>
      <c r="E222" s="6" t="n">
        <v>97.5295951468172</v>
      </c>
    </row>
    <row r="223">
      <c r="A223" s="12" t="n">
        <v>45231</v>
      </c>
      <c r="B223" s="6" t="n">
        <v>97.4156633489558</v>
      </c>
      <c r="C223" s="6" t="n">
        <v>111.805637361432</v>
      </c>
      <c r="D223" s="6" t="n">
        <v>101.865633601794</v>
      </c>
      <c r="E223" s="6" t="n">
        <v>97.7242279984834</v>
      </c>
    </row>
    <row r="224">
      <c r="A224" s="12" t="n">
        <v>45232</v>
      </c>
      <c r="B224" s="6" t="n">
        <v>96.5776791481046</v>
      </c>
      <c r="C224" s="6" t="n">
        <v>113.950418191641</v>
      </c>
      <c r="D224" s="6" t="n">
        <v>102.028749107962</v>
      </c>
      <c r="E224" s="6" t="n">
        <v>97.001305978009</v>
      </c>
    </row>
    <row r="225">
      <c r="A225" s="12" t="n">
        <v>45233</v>
      </c>
      <c r="B225" s="6" t="n">
        <v>96.0402762366891</v>
      </c>
      <c r="C225" s="6" t="n">
        <v>115.210476929389</v>
      </c>
      <c r="D225" s="6" t="n">
        <v>102.579263941278</v>
      </c>
      <c r="E225" s="6" t="n">
        <v>96.6861861229304</v>
      </c>
    </row>
    <row r="226">
      <c r="A226" s="12" t="n">
        <v>45236</v>
      </c>
      <c r="B226" s="6" t="n">
        <v>95.7852375668649</v>
      </c>
      <c r="C226" s="6" t="n">
        <v>114.26319872938</v>
      </c>
      <c r="D226" s="6" t="n">
        <v>102.742379447446</v>
      </c>
      <c r="E226" s="6" t="n">
        <v>96.8900872056283</v>
      </c>
    </row>
    <row r="227">
      <c r="A227" s="12" t="n">
        <v>45237</v>
      </c>
      <c r="B227" s="6" t="n">
        <v>96.1495785237567</v>
      </c>
      <c r="C227" s="6" t="n">
        <v>114.111276753907</v>
      </c>
      <c r="D227" s="6" t="n">
        <v>102.273422367214</v>
      </c>
      <c r="E227" s="6" t="n">
        <v>97.0661835952311</v>
      </c>
    </row>
    <row r="228">
      <c r="A228" s="12" t="n">
        <v>45238</v>
      </c>
      <c r="B228" s="6" t="n">
        <v>96.2588808108243</v>
      </c>
      <c r="C228" s="6" t="n">
        <v>114.173832861454</v>
      </c>
      <c r="D228" s="6" t="n">
        <v>101.936996635743</v>
      </c>
      <c r="E228" s="6" t="n">
        <v>97.2237435227704</v>
      </c>
    </row>
    <row r="229">
      <c r="A229" s="12" t="n">
        <v>45239</v>
      </c>
      <c r="B229" s="6" t="n">
        <v>96.2770978586688</v>
      </c>
      <c r="C229" s="6" t="n">
        <v>114.039784059566</v>
      </c>
      <c r="D229" s="6" t="n">
        <v>101.967580793149</v>
      </c>
      <c r="E229" s="6" t="n">
        <v>97.16813413658</v>
      </c>
    </row>
    <row r="230">
      <c r="A230" s="12" t="n">
        <v>45240</v>
      </c>
      <c r="B230" s="6" t="n">
        <v>96.6141132437938</v>
      </c>
      <c r="C230" s="6" t="n">
        <v>112.332895982192</v>
      </c>
      <c r="D230" s="6" t="n">
        <v>101.906412478336</v>
      </c>
      <c r="E230" s="6" t="n">
        <v>97.3071576020559</v>
      </c>
    </row>
    <row r="231">
      <c r="A231" s="12" t="n">
        <v>45243</v>
      </c>
      <c r="B231" s="6" t="n">
        <v>96.6050047198715</v>
      </c>
      <c r="C231" s="6" t="n">
        <v>113.199744901068</v>
      </c>
      <c r="D231" s="6" t="n">
        <v>101.773881129575</v>
      </c>
      <c r="E231" s="6" t="n">
        <v>97.3905716813414</v>
      </c>
    </row>
    <row r="232">
      <c r="A232" s="12" t="n">
        <v>45244</v>
      </c>
      <c r="B232" s="6" t="n">
        <v>96.3590745739695</v>
      </c>
      <c r="C232" s="6" t="n">
        <v>113.950418191641</v>
      </c>
      <c r="D232" s="6" t="n">
        <v>101.631155061678</v>
      </c>
      <c r="E232" s="6" t="n">
        <v>97.2237435227704</v>
      </c>
    </row>
    <row r="233">
      <c r="A233" s="12" t="n">
        <v>45245</v>
      </c>
      <c r="B233" s="6" t="n">
        <v>95.3024857989832</v>
      </c>
      <c r="C233" s="6" t="n">
        <v>114.879823218065</v>
      </c>
      <c r="D233" s="6" t="n">
        <v>102.365174839433</v>
      </c>
      <c r="E233" s="6" t="n">
        <v>96.8993554366601</v>
      </c>
    </row>
    <row r="234">
      <c r="A234" s="12" t="n">
        <v>45246</v>
      </c>
      <c r="B234" s="6" t="n">
        <v>95.4026795621284</v>
      </c>
      <c r="C234" s="6" t="n">
        <v>115.362398904862</v>
      </c>
      <c r="D234" s="6" t="n">
        <v>101.967580793149</v>
      </c>
      <c r="E234" s="6" t="n">
        <v>96.8530142815015</v>
      </c>
    </row>
    <row r="235">
      <c r="A235" s="12" t="n">
        <v>45247</v>
      </c>
      <c r="B235" s="6" t="n">
        <v>95.0383386052366</v>
      </c>
      <c r="C235" s="6" t="n">
        <v>115.639433095431</v>
      </c>
      <c r="D235" s="6" t="n">
        <v>101.886023040065</v>
      </c>
      <c r="E235" s="6" t="n">
        <v>97.0383789021359</v>
      </c>
    </row>
    <row r="236">
      <c r="A236" s="12" t="n">
        <v>45250</v>
      </c>
      <c r="B236" s="6" t="n">
        <v>94.7286487918785</v>
      </c>
      <c r="C236" s="6" t="n">
        <v>115.693052616186</v>
      </c>
      <c r="D236" s="6" t="n">
        <v>101.651544499949</v>
      </c>
      <c r="E236" s="6" t="n">
        <v>97.334962295151</v>
      </c>
    </row>
    <row r="237">
      <c r="A237" s="12" t="n">
        <v>45251</v>
      </c>
      <c r="B237" s="6" t="n">
        <v>94.437176026365</v>
      </c>
      <c r="C237" s="6" t="n">
        <v>115.728798963356</v>
      </c>
      <c r="D237" s="6" t="n">
        <v>101.508818432052</v>
      </c>
      <c r="E237" s="6" t="n">
        <v>97.5852045330076</v>
      </c>
    </row>
    <row r="238">
      <c r="A238" s="12" t="n">
        <v>45252</v>
      </c>
      <c r="B238" s="6" t="n">
        <v>94.7104317440339</v>
      </c>
      <c r="C238" s="6" t="n">
        <v>115.60368674826</v>
      </c>
      <c r="D238" s="6" t="n">
        <v>101.722907533897</v>
      </c>
      <c r="E238" s="6" t="n">
        <v>97.7427644605468</v>
      </c>
    </row>
    <row r="239">
      <c r="A239" s="12" t="n">
        <v>45253</v>
      </c>
      <c r="B239" s="6" t="n">
        <v>94.7559743636454</v>
      </c>
      <c r="C239" s="6" t="n">
        <v>115.719862376563</v>
      </c>
      <c r="D239" s="6" t="n">
        <v>101.763686410439</v>
      </c>
      <c r="E239" s="6" t="n">
        <v>97.9652020053082</v>
      </c>
    </row>
    <row r="240">
      <c r="A240" s="12" t="n">
        <v>45254</v>
      </c>
      <c r="B240" s="6" t="n">
        <v>94.7286487918785</v>
      </c>
      <c r="C240" s="6" t="n">
        <v>115.98795998034</v>
      </c>
      <c r="D240" s="6" t="n">
        <v>101.947191354878</v>
      </c>
      <c r="E240" s="6" t="n">
        <v>97.8076420777689</v>
      </c>
    </row>
    <row r="241">
      <c r="A241" s="12" t="n">
        <v>45257</v>
      </c>
      <c r="B241" s="6" t="n">
        <v>94.4462845502873</v>
      </c>
      <c r="C241" s="6" t="n">
        <v>116.345423452041</v>
      </c>
      <c r="D241" s="6" t="n">
        <v>102.202059333265</v>
      </c>
      <c r="E241" s="6" t="n">
        <v>97.5203269157855</v>
      </c>
    </row>
    <row r="242">
      <c r="A242" s="12" t="n">
        <v>45258</v>
      </c>
      <c r="B242" s="6" t="n">
        <v>94.5009356938211</v>
      </c>
      <c r="C242" s="6" t="n">
        <v>115.469637946372</v>
      </c>
      <c r="D242" s="6" t="n">
        <v>102.497706188195</v>
      </c>
      <c r="E242" s="6" t="n">
        <v>97.4832539916586</v>
      </c>
    </row>
    <row r="243">
      <c r="A243" s="12" t="n">
        <v>45259</v>
      </c>
      <c r="B243" s="6" t="n">
        <v>94.2003544043854</v>
      </c>
      <c r="C243" s="6" t="n">
        <v>115.228350102974</v>
      </c>
      <c r="D243" s="6" t="n">
        <v>102.456927311653</v>
      </c>
      <c r="E243" s="6" t="n">
        <v>97.5017904537221</v>
      </c>
    </row>
    <row r="244">
      <c r="A244" s="12" t="n">
        <v>45260</v>
      </c>
      <c r="B244" s="6" t="n">
        <v>94.5920209330441</v>
      </c>
      <c r="C244" s="6" t="n">
        <v>113.932545018056</v>
      </c>
      <c r="D244" s="6" t="n">
        <v>102.467122030788</v>
      </c>
      <c r="E244" s="6" t="n">
        <v>97.6778868433248</v>
      </c>
    </row>
    <row r="245">
      <c r="A245" s="12" t="n">
        <v>45261</v>
      </c>
      <c r="B245" s="6" t="n">
        <v>94.6557806005002</v>
      </c>
      <c r="C245" s="6" t="n">
        <v>114.718964655799</v>
      </c>
      <c r="D245" s="6" t="n">
        <v>102.93607911102</v>
      </c>
      <c r="E245" s="6" t="n">
        <v>97.7983738467372</v>
      </c>
    </row>
    <row r="246">
      <c r="A246" s="12" t="n">
        <v>45264</v>
      </c>
      <c r="B246" s="6" t="n">
        <v>94.5100442177434</v>
      </c>
      <c r="C246" s="6" t="n">
        <v>114.879823218065</v>
      </c>
      <c r="D246" s="6" t="n">
        <v>102.946273830156</v>
      </c>
      <c r="E246" s="6" t="n">
        <v>97.7149597674517</v>
      </c>
    </row>
    <row r="247">
      <c r="A247" s="12" t="n">
        <v>45265</v>
      </c>
      <c r="B247" s="6" t="n">
        <v>94.9381448420913</v>
      </c>
      <c r="C247" s="6" t="n">
        <v>113.610827893525</v>
      </c>
      <c r="D247" s="6" t="n">
        <v>102.762768885717</v>
      </c>
      <c r="E247" s="6" t="n">
        <v>98.0115431604668</v>
      </c>
    </row>
    <row r="248">
      <c r="A248" s="12" t="n">
        <v>45266</v>
      </c>
      <c r="B248" s="6" t="n">
        <v>94.929036318169</v>
      </c>
      <c r="C248" s="6" t="n">
        <v>114.718964655799</v>
      </c>
      <c r="D248" s="6" t="n">
        <v>103.007442144969</v>
      </c>
      <c r="E248" s="6" t="n">
        <v>97.9095926191178</v>
      </c>
    </row>
    <row r="249">
      <c r="A249" s="12" t="n">
        <v>45267</v>
      </c>
      <c r="B249" s="6" t="n">
        <v>94.865276650713</v>
      </c>
      <c r="C249" s="6" t="n">
        <v>114.718964655799</v>
      </c>
      <c r="D249" s="6" t="n">
        <v>102.609848098685</v>
      </c>
      <c r="E249" s="6" t="n">
        <v>97.8354467708641</v>
      </c>
    </row>
    <row r="250">
      <c r="A250" s="12" t="n">
        <v>45268</v>
      </c>
      <c r="B250" s="6" t="n">
        <v>94.8926022224799</v>
      </c>
      <c r="C250" s="6" t="n">
        <v>113.923608431263</v>
      </c>
      <c r="D250" s="6" t="n">
        <v>102.895300234479</v>
      </c>
      <c r="E250" s="6" t="n">
        <v>97.6408139191979</v>
      </c>
    </row>
    <row r="251">
      <c r="A251" s="12" t="n">
        <v>45271</v>
      </c>
      <c r="B251" s="6" t="n">
        <v>95.1567494162264</v>
      </c>
      <c r="C251" s="6" t="n">
        <v>114.272135316172</v>
      </c>
      <c r="D251" s="6" t="n">
        <v>102.956468549291</v>
      </c>
      <c r="E251" s="6" t="n">
        <v>97.7891056157055</v>
      </c>
    </row>
    <row r="252">
      <c r="A252" s="12" t="n">
        <v>45272</v>
      </c>
      <c r="B252" s="6" t="n">
        <v>94.8561681267907</v>
      </c>
      <c r="C252" s="6" t="n">
        <v>114.549169506741</v>
      </c>
      <c r="D252" s="6" t="n">
        <v>102.93607911102</v>
      </c>
      <c r="E252" s="6" t="n">
        <v>97.5666680709441</v>
      </c>
    </row>
    <row r="253">
      <c r="A253" s="12" t="n">
        <v>45273</v>
      </c>
      <c r="B253" s="6" t="n">
        <v>95.174966464071</v>
      </c>
      <c r="C253" s="6" t="n">
        <v>115.022808606745</v>
      </c>
      <c r="D253" s="6" t="n">
        <v>102.987052706698</v>
      </c>
      <c r="E253" s="6" t="n">
        <v>97.9003243880861</v>
      </c>
    </row>
    <row r="254">
      <c r="A254" s="12" t="n">
        <v>45274</v>
      </c>
      <c r="B254" s="6" t="n">
        <v>94.2367885000745</v>
      </c>
      <c r="C254" s="6" t="n">
        <v>114.513423159571</v>
      </c>
      <c r="D254" s="6" t="n">
        <v>103.568151697421</v>
      </c>
      <c r="E254" s="6" t="n">
        <v>97.4369128365</v>
      </c>
    </row>
    <row r="255">
      <c r="A255" s="12" t="n">
        <v>45275</v>
      </c>
      <c r="B255" s="6" t="n">
        <v>94.0637265455509</v>
      </c>
      <c r="C255" s="6" t="n">
        <v>114.486613399193</v>
      </c>
      <c r="D255" s="6" t="n">
        <v>103.914772148027</v>
      </c>
      <c r="E255" s="6" t="n">
        <v>97.6964233053882</v>
      </c>
    </row>
    <row r="256">
      <c r="A256" s="12" t="n">
        <v>45278</v>
      </c>
      <c r="B256" s="6" t="n">
        <v>94.2458970239968</v>
      </c>
      <c r="C256" s="6" t="n">
        <v>114.888759804857</v>
      </c>
      <c r="D256" s="6" t="n">
        <v>104.261392598634</v>
      </c>
      <c r="E256" s="6" t="n">
        <v>97.5666680709441</v>
      </c>
    </row>
    <row r="257">
      <c r="A257" s="12" t="n">
        <v>45279</v>
      </c>
      <c r="B257" s="6" t="n">
        <v>94.0910521173178</v>
      </c>
      <c r="C257" s="6" t="n">
        <v>115.970086806754</v>
      </c>
      <c r="D257" s="6" t="n">
        <v>103.965745743705</v>
      </c>
      <c r="E257" s="6" t="n">
        <v>97.5110586847538</v>
      </c>
    </row>
    <row r="258">
      <c r="A258" s="12" t="n">
        <v>45280</v>
      </c>
      <c r="B258" s="6" t="n">
        <v>94.0455094977063</v>
      </c>
      <c r="C258" s="6" t="n">
        <v>116.09519902185</v>
      </c>
      <c r="D258" s="6" t="n">
        <v>104.251197879498</v>
      </c>
      <c r="E258" s="6" t="n">
        <v>97.4276446054683</v>
      </c>
    </row>
    <row r="259">
      <c r="A259" s="12" t="n">
        <v>45281</v>
      </c>
      <c r="B259" s="6" t="n">
        <v>93.9179901627942</v>
      </c>
      <c r="C259" s="6" t="n">
        <v>116.09519902185</v>
      </c>
      <c r="D259" s="6" t="n">
        <v>104.128861249873</v>
      </c>
      <c r="E259" s="6" t="n">
        <v>97.2144752917387</v>
      </c>
    </row>
    <row r="260">
      <c r="A260" s="12" t="n">
        <v>45282</v>
      </c>
      <c r="B260" s="6" t="n">
        <v>93.5900833015915</v>
      </c>
      <c r="C260" s="6" t="n">
        <v>116.649267402987</v>
      </c>
      <c r="D260" s="6" t="n">
        <v>104.577428891834</v>
      </c>
      <c r="E260" s="6" t="n">
        <v>97.0291106711042</v>
      </c>
    </row>
    <row r="261">
      <c r="A261" s="12" t="n">
        <v>45285</v>
      </c>
      <c r="B261" s="6" t="n">
        <v>93.5900833015915</v>
      </c>
      <c r="C261" s="6" t="n">
        <v>116.649267402987</v>
      </c>
      <c r="D261" s="6" t="n">
        <v>104.577428891834</v>
      </c>
      <c r="E261" s="6" t="n">
        <v>97.0291106711042</v>
      </c>
    </row>
    <row r="262">
      <c r="A262" s="12" t="n">
        <v>45286</v>
      </c>
      <c r="B262" s="6" t="n">
        <v>93.5809747776692</v>
      </c>
      <c r="C262" s="6" t="n">
        <v>116.640330816195</v>
      </c>
      <c r="D262" s="6" t="n">
        <v>104.577428891834</v>
      </c>
      <c r="E262" s="6" t="n">
        <v>97.0105742090407</v>
      </c>
    </row>
    <row r="263">
      <c r="A263" s="12" t="n">
        <v>45287</v>
      </c>
      <c r="B263" s="6" t="n">
        <v>93.4716724906017</v>
      </c>
      <c r="C263" s="6" t="n">
        <v>116.747569857705</v>
      </c>
      <c r="D263" s="6" t="n">
        <v>105.138138444286</v>
      </c>
      <c r="E263" s="6" t="n">
        <v>96.7232590470573</v>
      </c>
    </row>
    <row r="264">
      <c r="A264" s="12" t="n">
        <v>45288</v>
      </c>
      <c r="B264" s="6" t="n">
        <v>93.0526803901761</v>
      </c>
      <c r="C264" s="6" t="n">
        <v>116.76544303129</v>
      </c>
      <c r="D264" s="6" t="n">
        <v>104.750739117137</v>
      </c>
      <c r="E264" s="6" t="n">
        <v>96.9178918987235</v>
      </c>
    </row>
    <row r="265">
      <c r="A265" s="12" t="n">
        <v>45289</v>
      </c>
      <c r="B265" s="6" t="n">
        <v>93.3077190600003</v>
      </c>
      <c r="C265" s="6" t="n">
        <v>116.559901535062</v>
      </c>
      <c r="D265" s="6" t="n">
        <v>104.669181364053</v>
      </c>
      <c r="E265" s="6" t="n">
        <v>97.1588659055483</v>
      </c>
    </row>
    <row r="266">
      <c r="A266" s="12" t="n">
        <v>45292</v>
      </c>
      <c r="B266" s="6" t="n">
        <v>93.3077190600003</v>
      </c>
      <c r="C266" s="6" t="n">
        <v>116.559901535062</v>
      </c>
      <c r="D266" s="6" t="n">
        <v>104.669181364053</v>
      </c>
      <c r="E266" s="6" t="n">
        <v>97.1588659055483</v>
      </c>
    </row>
    <row r="267">
      <c r="A267" s="12" t="n">
        <v>45293</v>
      </c>
      <c r="B267" s="6" t="n">
        <v>93.8633390192604</v>
      </c>
      <c r="C267" s="6" t="n">
        <v>116.104135608642</v>
      </c>
      <c r="D267" s="6" t="n">
        <v>104.60801304924</v>
      </c>
      <c r="E267" s="6" t="n">
        <v>97.1217929814214</v>
      </c>
    </row>
    <row r="268">
      <c r="A268" s="12" t="n">
        <v>45294</v>
      </c>
      <c r="B268" s="6" t="n">
        <v>94.1365947369293</v>
      </c>
      <c r="C268" s="6" t="n">
        <v>116.005833153925</v>
      </c>
      <c r="D268" s="6" t="n">
        <v>104.312366194311</v>
      </c>
      <c r="E268" s="6" t="n">
        <v>97.334962295151</v>
      </c>
    </row>
    <row r="269">
      <c r="A269" s="12" t="n">
        <v>45295</v>
      </c>
      <c r="B269" s="6" t="n">
        <v>93.9999668780948</v>
      </c>
      <c r="C269" s="6" t="n">
        <v>116.685013750157</v>
      </c>
      <c r="D269" s="6" t="n">
        <v>104.373534509124</v>
      </c>
      <c r="E269" s="6" t="n">
        <v>97.2515482158655</v>
      </c>
    </row>
    <row r="270">
      <c r="A270" s="12" t="n">
        <v>45296</v>
      </c>
      <c r="B270" s="6" t="n">
        <v>94.2458970239968</v>
      </c>
      <c r="C270" s="6" t="n">
        <v>116.506282014307</v>
      </c>
      <c r="D270" s="6" t="n">
        <v>104.190029564685</v>
      </c>
      <c r="E270" s="6" t="n">
        <v>97.4739857606269</v>
      </c>
    </row>
    <row r="271">
      <c r="A271" s="12" t="n">
        <v>45299</v>
      </c>
      <c r="B271" s="6" t="n">
        <v>94.1001606412401</v>
      </c>
      <c r="C271" s="6" t="n">
        <v>117.435687040731</v>
      </c>
      <c r="D271" s="6" t="n">
        <v>103.996329901111</v>
      </c>
      <c r="E271" s="6" t="n">
        <v>97.2515482158655</v>
      </c>
    </row>
    <row r="272">
      <c r="A272" s="12" t="n">
        <v>45300</v>
      </c>
      <c r="B272" s="6" t="n">
        <v>94.0546180216286</v>
      </c>
      <c r="C272" s="6" t="n">
        <v>117.668038297336</v>
      </c>
      <c r="D272" s="6" t="n">
        <v>104.200224283821</v>
      </c>
      <c r="E272" s="6" t="n">
        <v>97.1959388296752</v>
      </c>
    </row>
    <row r="273">
      <c r="A273" s="12" t="n">
        <v>45301</v>
      </c>
      <c r="B273" s="6" t="n">
        <v>94.2458970239968</v>
      </c>
      <c r="C273" s="6" t="n">
        <v>116.863745486008</v>
      </c>
      <c r="D273" s="6" t="n">
        <v>104.077887654195</v>
      </c>
      <c r="E273" s="6" t="n">
        <v>97.2793529089607</v>
      </c>
    </row>
    <row r="274">
      <c r="A274" s="12" t="n">
        <v>45302</v>
      </c>
      <c r="B274" s="6" t="n">
        <v>94.0910521173178</v>
      </c>
      <c r="C274" s="6" t="n">
        <v>116.756506444498</v>
      </c>
      <c r="D274" s="6" t="n">
        <v>104.190029564685</v>
      </c>
      <c r="E274" s="6" t="n">
        <v>97.2793529089607</v>
      </c>
    </row>
    <row r="275">
      <c r="A275" s="12" t="n">
        <v>45303</v>
      </c>
      <c r="B275" s="6" t="n">
        <v>94.1730288326185</v>
      </c>
      <c r="C275" s="6" t="n">
        <v>117.480369974693</v>
      </c>
      <c r="D275" s="6" t="n">
        <v>104.128861249873</v>
      </c>
      <c r="E275" s="6" t="n">
        <v>97.2422799848338</v>
      </c>
    </row>
    <row r="276">
      <c r="A276" s="12" t="n">
        <v>45306</v>
      </c>
      <c r="B276" s="6" t="n">
        <v>94.2641140718414</v>
      </c>
      <c r="C276" s="6" t="n">
        <v>117.587609016204</v>
      </c>
      <c r="D276" s="6" t="n">
        <v>103.751656641859</v>
      </c>
      <c r="E276" s="6" t="n">
        <v>97.2608164468973</v>
      </c>
    </row>
    <row r="277">
      <c r="A277" s="12" t="n">
        <v>45307</v>
      </c>
      <c r="B277" s="6" t="n">
        <v>94.7468658397231</v>
      </c>
      <c r="C277" s="6" t="n">
        <v>116.854808899216</v>
      </c>
      <c r="D277" s="6" t="n">
        <v>103.619125293098</v>
      </c>
      <c r="E277" s="6" t="n">
        <v>97.5481316088807</v>
      </c>
    </row>
    <row r="278">
      <c r="A278" s="12" t="n">
        <v>45308</v>
      </c>
      <c r="B278" s="6" t="n">
        <v>95.1294238444595</v>
      </c>
      <c r="C278" s="6" t="n">
        <v>115.281969623729</v>
      </c>
      <c r="D278" s="6" t="n">
        <v>103.445815067795</v>
      </c>
      <c r="E278" s="6" t="n">
        <v>97.770569153642</v>
      </c>
    </row>
    <row r="279">
      <c r="A279" s="12" t="n">
        <v>45309</v>
      </c>
      <c r="B279" s="6" t="n">
        <v>95.0383386052366</v>
      </c>
      <c r="C279" s="6" t="n">
        <v>115.98795998034</v>
      </c>
      <c r="D279" s="6" t="n">
        <v>103.527372820879</v>
      </c>
      <c r="E279" s="6" t="n">
        <v>97.7613009226103</v>
      </c>
    </row>
    <row r="280">
      <c r="A280" s="12" t="n">
        <v>45310</v>
      </c>
      <c r="B280" s="6" t="n">
        <v>94.8926022224799</v>
      </c>
      <c r="C280" s="6" t="n">
        <v>116.273930757701</v>
      </c>
      <c r="D280" s="6" t="n">
        <v>103.761851360995</v>
      </c>
      <c r="E280" s="6" t="n">
        <v>97.668618612293</v>
      </c>
    </row>
    <row r="281">
      <c r="A281" s="12" t="n">
        <v>45313</v>
      </c>
      <c r="B281" s="6" t="n">
        <v>94.8379510789461</v>
      </c>
      <c r="C281" s="6" t="n">
        <v>116.685013750157</v>
      </c>
      <c r="D281" s="6" t="n">
        <v>104.037108777653</v>
      </c>
      <c r="E281" s="6" t="n">
        <v>97.6315456881662</v>
      </c>
    </row>
    <row r="282">
      <c r="A282" s="12" t="n">
        <v>45314</v>
      </c>
      <c r="B282" s="6" t="n">
        <v>94.9836874617028</v>
      </c>
      <c r="C282" s="6" t="n">
        <v>115.451764772787</v>
      </c>
      <c r="D282" s="6" t="n">
        <v>103.700683046182</v>
      </c>
      <c r="E282" s="6" t="n">
        <v>98.0486160845937</v>
      </c>
    </row>
    <row r="283">
      <c r="A283" s="12" t="n">
        <v>45315</v>
      </c>
      <c r="B283" s="6" t="n">
        <v>94.7104317440339</v>
      </c>
      <c r="C283" s="6" t="n">
        <v>115.657306269016</v>
      </c>
      <c r="D283" s="6" t="n">
        <v>103.741461922724</v>
      </c>
      <c r="E283" s="6" t="n">
        <v>98.0578843156254</v>
      </c>
    </row>
    <row r="284">
      <c r="A284" s="12" t="n">
        <v>45316</v>
      </c>
      <c r="B284" s="6" t="n">
        <v>94.9108192703244</v>
      </c>
      <c r="C284" s="6" t="n">
        <v>115.576876987883</v>
      </c>
      <c r="D284" s="6" t="n">
        <v>103.384646752982</v>
      </c>
      <c r="E284" s="6" t="n">
        <v>97.9744702363399</v>
      </c>
    </row>
    <row r="285">
      <c r="A285" s="12" t="n">
        <v>45317</v>
      </c>
      <c r="B285" s="6" t="n">
        <v>94.8470596028684</v>
      </c>
      <c r="C285" s="6" t="n">
        <v>116.005833153925</v>
      </c>
      <c r="D285" s="6" t="n">
        <v>103.935161586298</v>
      </c>
      <c r="E285" s="6" t="n">
        <v>97.9003243880861</v>
      </c>
    </row>
    <row r="286">
      <c r="A286" s="12" t="n">
        <v>45320</v>
      </c>
      <c r="B286" s="6" t="n">
        <v>94.9563618899359</v>
      </c>
      <c r="C286" s="6" t="n">
        <v>116.193501476568</v>
      </c>
      <c r="D286" s="6" t="n">
        <v>104.006524620247</v>
      </c>
      <c r="E286" s="6" t="n">
        <v>97.9652020053082</v>
      </c>
    </row>
    <row r="287">
      <c r="A287" s="12" t="n">
        <v>45321</v>
      </c>
      <c r="B287" s="6" t="n">
        <v>94.9199277942467</v>
      </c>
      <c r="C287" s="6" t="n">
        <v>115.675179442601</v>
      </c>
      <c r="D287" s="6" t="n">
        <v>104.057498215924</v>
      </c>
      <c r="E287" s="6" t="n">
        <v>97.8539832329275</v>
      </c>
    </row>
    <row r="288">
      <c r="A288" s="12" t="n">
        <v>45322</v>
      </c>
      <c r="B288" s="6" t="n">
        <v>94.9108192703244</v>
      </c>
      <c r="C288" s="6" t="n">
        <v>116.184564889775</v>
      </c>
      <c r="D288" s="6" t="n">
        <v>104.006524620247</v>
      </c>
      <c r="E288" s="6" t="n">
        <v>97.937397312213</v>
      </c>
    </row>
    <row r="289">
      <c r="A289" s="12" t="n">
        <v>45323</v>
      </c>
      <c r="B289" s="6" t="n">
        <v>95.0110130334697</v>
      </c>
      <c r="C289" s="6" t="n">
        <v>115.728798963356</v>
      </c>
      <c r="D289" s="6" t="n">
        <v>103.935161586298</v>
      </c>
      <c r="E289" s="6" t="n">
        <v>97.9188608501496</v>
      </c>
    </row>
    <row r="290">
      <c r="A290" s="12" t="n">
        <v>45324</v>
      </c>
      <c r="B290" s="6" t="n">
        <v>94.5555868373549</v>
      </c>
      <c r="C290" s="6" t="n">
        <v>116.649267402987</v>
      </c>
      <c r="D290" s="6" t="n">
        <v>104.302171475176</v>
      </c>
      <c r="E290" s="6" t="n">
        <v>97.5852045330076</v>
      </c>
    </row>
    <row r="291">
      <c r="A291" s="12" t="n">
        <v>45327</v>
      </c>
      <c r="B291" s="6" t="n">
        <v>95.3935710382061</v>
      </c>
      <c r="C291" s="6" t="n">
        <v>116.13094536902</v>
      </c>
      <c r="D291" s="6" t="n">
        <v>103.721072484453</v>
      </c>
      <c r="E291" s="6" t="n">
        <v>98.1320301638792</v>
      </c>
    </row>
    <row r="292">
      <c r="A292" s="12" t="n">
        <v>45328</v>
      </c>
      <c r="B292" s="6" t="n">
        <v>95.2478346554494</v>
      </c>
      <c r="C292" s="6" t="n">
        <v>117.069286982236</v>
      </c>
      <c r="D292" s="6" t="n">
        <v>103.486593944337</v>
      </c>
      <c r="E292" s="6" t="n">
        <v>98.1969077811012</v>
      </c>
    </row>
    <row r="293">
      <c r="A293" s="12" t="n">
        <v>45329</v>
      </c>
      <c r="B293" s="6" t="n">
        <v>95.1020982726926</v>
      </c>
      <c r="C293" s="6" t="n">
        <v>116.953111353934</v>
      </c>
      <c r="D293" s="6" t="n">
        <v>103.935161586298</v>
      </c>
      <c r="E293" s="6" t="n">
        <v>97.9466655432447</v>
      </c>
    </row>
    <row r="294">
      <c r="A294" s="12" t="n">
        <v>45330</v>
      </c>
      <c r="B294" s="6" t="n">
        <v>95.2842687511386</v>
      </c>
      <c r="C294" s="6" t="n">
        <v>116.890555246386</v>
      </c>
      <c r="D294" s="6" t="n">
        <v>103.812824956672</v>
      </c>
      <c r="E294" s="6" t="n">
        <v>98.1412983949109</v>
      </c>
    </row>
    <row r="295">
      <c r="A295" s="12" t="n">
        <v>45331</v>
      </c>
      <c r="B295" s="6" t="n">
        <v>95.2751602272163</v>
      </c>
      <c r="C295" s="6" t="n">
        <v>116.595647882232</v>
      </c>
      <c r="D295" s="6" t="n">
        <v>104.088082373331</v>
      </c>
      <c r="E295" s="6" t="n">
        <v>98.1876395500695</v>
      </c>
    </row>
    <row r="296">
      <c r="A296" s="12" t="n">
        <v>45334</v>
      </c>
      <c r="B296" s="6" t="n">
        <v>95.174966464071</v>
      </c>
      <c r="C296" s="6" t="n">
        <v>117.042477221859</v>
      </c>
      <c r="D296" s="6" t="n">
        <v>103.914772148027</v>
      </c>
      <c r="E296" s="6" t="n">
        <v>98.0856890087206</v>
      </c>
    </row>
    <row r="297">
      <c r="A297" s="12" t="n">
        <v>45335</v>
      </c>
      <c r="B297" s="6" t="n">
        <v>95.1385323683818</v>
      </c>
      <c r="C297" s="6" t="n">
        <v>116.872682072801</v>
      </c>
      <c r="D297" s="6" t="n">
        <v>104.047303496789</v>
      </c>
      <c r="E297" s="6" t="n">
        <v>98.0486160845937</v>
      </c>
    </row>
    <row r="298">
      <c r="A298" s="12" t="n">
        <v>45336</v>
      </c>
      <c r="B298" s="6" t="n">
        <v>95.5666329927298</v>
      </c>
      <c r="C298" s="6" t="n">
        <v>116.676077163365</v>
      </c>
      <c r="D298" s="6" t="n">
        <v>103.466204506066</v>
      </c>
      <c r="E298" s="6" t="n">
        <v>98.4842229430846</v>
      </c>
    </row>
    <row r="299">
      <c r="A299" s="12" t="n">
        <v>45337</v>
      </c>
      <c r="B299" s="6" t="n">
        <v>95.4391136578176</v>
      </c>
      <c r="C299" s="6" t="n">
        <v>116.944174767141</v>
      </c>
      <c r="D299" s="6" t="n">
        <v>103.425425629524</v>
      </c>
      <c r="E299" s="6" t="n">
        <v>98.3451994776088</v>
      </c>
    </row>
    <row r="300">
      <c r="A300" s="12" t="n">
        <v>45338</v>
      </c>
      <c r="B300" s="6" t="n">
        <v>95.3024857989832</v>
      </c>
      <c r="C300" s="6" t="n">
        <v>117.185462610539</v>
      </c>
      <c r="D300" s="6" t="n">
        <v>103.833214394943</v>
      </c>
      <c r="E300" s="6" t="n">
        <v>98.2895900914185</v>
      </c>
    </row>
    <row r="301">
      <c r="A301" s="12" t="n">
        <v>45341</v>
      </c>
      <c r="B301" s="6" t="n">
        <v>95.2842687511386</v>
      </c>
      <c r="C301" s="6" t="n">
        <v>117.158652850162</v>
      </c>
      <c r="D301" s="6" t="n">
        <v>103.86379855235</v>
      </c>
      <c r="E301" s="6" t="n">
        <v>98.1876395500695</v>
      </c>
    </row>
    <row r="302">
      <c r="A302" s="12" t="n">
        <v>45342</v>
      </c>
      <c r="B302" s="6" t="n">
        <v>95.2296176076048</v>
      </c>
      <c r="C302" s="6" t="n">
        <v>117.355257759598</v>
      </c>
      <c r="D302" s="6" t="n">
        <v>103.802630237537</v>
      </c>
      <c r="E302" s="6" t="n">
        <v>98.2154442431647</v>
      </c>
    </row>
    <row r="303">
      <c r="A303" s="12" t="n">
        <v>45343</v>
      </c>
      <c r="B303" s="6" t="n">
        <v>95.2387261315271</v>
      </c>
      <c r="C303" s="6" t="n">
        <v>117.024604048274</v>
      </c>
      <c r="D303" s="6" t="n">
        <v>103.45600978693</v>
      </c>
      <c r="E303" s="6" t="n">
        <v>98.2154442431647</v>
      </c>
    </row>
    <row r="304">
      <c r="A304" s="12" t="n">
        <v>45344</v>
      </c>
      <c r="B304" s="6" t="n">
        <v>95.1294238444595</v>
      </c>
      <c r="C304" s="6" t="n">
        <v>116.899491833178</v>
      </c>
      <c r="D304" s="6" t="n">
        <v>103.741461922724</v>
      </c>
      <c r="E304" s="6" t="n">
        <v>98.0949572397523</v>
      </c>
    </row>
    <row r="305">
      <c r="A305" s="12" t="n">
        <v>45345</v>
      </c>
      <c r="B305" s="6" t="n">
        <v>95.1840749879933</v>
      </c>
      <c r="C305" s="6" t="n">
        <v>116.827999138838</v>
      </c>
      <c r="D305" s="6" t="n">
        <v>103.904577428892</v>
      </c>
      <c r="E305" s="6" t="n">
        <v>98.0949572397523</v>
      </c>
    </row>
    <row r="306">
      <c r="A306" s="12" t="n">
        <v>45348</v>
      </c>
      <c r="B306" s="6" t="n">
        <v>95.2296176076048</v>
      </c>
      <c r="C306" s="6" t="n">
        <v>116.80118937846</v>
      </c>
      <c r="D306" s="6" t="n">
        <v>103.45600978693</v>
      </c>
      <c r="E306" s="6" t="n">
        <v>98.1227619328475</v>
      </c>
    </row>
    <row r="307">
      <c r="A307" s="12" t="n">
        <v>45349</v>
      </c>
      <c r="B307" s="6" t="n">
        <v>95.1567494162264</v>
      </c>
      <c r="C307" s="6" t="n">
        <v>116.970984527519</v>
      </c>
      <c r="D307" s="6" t="n">
        <v>103.639514731369</v>
      </c>
      <c r="E307" s="6" t="n">
        <v>98.0578843156254</v>
      </c>
    </row>
    <row r="308">
      <c r="A308" s="12" t="n">
        <v>45350</v>
      </c>
      <c r="B308" s="6" t="n">
        <v>95.420896609973</v>
      </c>
      <c r="C308" s="6" t="n">
        <v>116.845872312423</v>
      </c>
      <c r="D308" s="6" t="n">
        <v>103.007442144969</v>
      </c>
      <c r="E308" s="6" t="n">
        <v>98.2895900914185</v>
      </c>
    </row>
    <row r="309">
      <c r="A309" s="12" t="n">
        <v>45351</v>
      </c>
      <c r="B309" s="6" t="n">
        <v>95.3389198946723</v>
      </c>
      <c r="C309" s="6" t="n">
        <v>116.890555246386</v>
      </c>
      <c r="D309" s="6" t="n">
        <v>102.925884391885</v>
      </c>
      <c r="E309" s="6" t="n">
        <v>98.2617853983233</v>
      </c>
    </row>
    <row r="310">
      <c r="A310" s="12" t="n">
        <v>45352</v>
      </c>
      <c r="B310" s="6" t="n">
        <v>95.3115943229055</v>
      </c>
      <c r="C310" s="6" t="n">
        <v>117.32844799922</v>
      </c>
      <c r="D310" s="6" t="n">
        <v>103.088999898053</v>
      </c>
      <c r="E310" s="6" t="n">
        <v>98.206176012133</v>
      </c>
    </row>
    <row r="311">
      <c r="A311" s="12" t="n">
        <v>45355</v>
      </c>
      <c r="B311" s="6" t="n">
        <v>95.2022920358379</v>
      </c>
      <c r="C311" s="6" t="n">
        <v>117.337384586013</v>
      </c>
      <c r="D311" s="6" t="n">
        <v>103.068610459782</v>
      </c>
      <c r="E311" s="6" t="n">
        <v>98.0486160845937</v>
      </c>
    </row>
    <row r="312">
      <c r="A312" s="12" t="n">
        <v>45356</v>
      </c>
      <c r="B312" s="6" t="n">
        <v>95.1931835119156</v>
      </c>
      <c r="C312" s="6" t="n">
        <v>117.766340752054</v>
      </c>
      <c r="D312" s="6" t="n">
        <v>102.885105515343</v>
      </c>
      <c r="E312" s="6" t="n">
        <v>98.0764207776888</v>
      </c>
    </row>
    <row r="313">
      <c r="A313" s="12" t="n">
        <v>45357</v>
      </c>
      <c r="B313" s="6" t="n">
        <v>95.0110130334697</v>
      </c>
      <c r="C313" s="6" t="n">
        <v>118.213170091681</v>
      </c>
      <c r="D313" s="6" t="n">
        <v>102.885105515343</v>
      </c>
      <c r="E313" s="6" t="n">
        <v>97.9095926191178</v>
      </c>
    </row>
    <row r="314">
      <c r="A314" s="12" t="n">
        <v>45358</v>
      </c>
      <c r="B314" s="6" t="n">
        <v>94.7377573158008</v>
      </c>
      <c r="C314" s="6" t="n">
        <v>118.168487157719</v>
      </c>
      <c r="D314" s="6" t="n">
        <v>103.435620348659</v>
      </c>
      <c r="E314" s="6" t="n">
        <v>97.603740995071</v>
      </c>
    </row>
    <row r="315">
      <c r="A315" s="12" t="n">
        <v>45359</v>
      </c>
      <c r="B315" s="6" t="n">
        <v>94.5009356938211</v>
      </c>
      <c r="C315" s="6" t="n">
        <v>118.061248116208</v>
      </c>
      <c r="D315" s="6" t="n">
        <v>103.710877765318</v>
      </c>
      <c r="E315" s="6" t="n">
        <v>97.4369128365</v>
      </c>
    </row>
    <row r="316">
      <c r="A316" s="12" t="n">
        <v>45362</v>
      </c>
      <c r="B316" s="6" t="n">
        <v>94.4645015981319</v>
      </c>
      <c r="C316" s="6" t="n">
        <v>118.41871158791</v>
      </c>
      <c r="D316" s="6" t="n">
        <v>103.241920685085</v>
      </c>
      <c r="E316" s="6" t="n">
        <v>97.4554492985634</v>
      </c>
    </row>
    <row r="317">
      <c r="A317" s="12" t="n">
        <v>45363</v>
      </c>
      <c r="B317" s="6" t="n">
        <v>94.5738038851995</v>
      </c>
      <c r="C317" s="6" t="n">
        <v>118.311472546399</v>
      </c>
      <c r="D317" s="6" t="n">
        <v>103.303088999898</v>
      </c>
      <c r="E317" s="6" t="n">
        <v>97.6778868433248</v>
      </c>
    </row>
    <row r="318">
      <c r="A318" s="12" t="n">
        <v>45364</v>
      </c>
      <c r="B318" s="6" t="n">
        <v>94.5373697895103</v>
      </c>
      <c r="C318" s="6" t="n">
        <v>118.704682365271</v>
      </c>
      <c r="D318" s="6" t="n">
        <v>103.394841472117</v>
      </c>
      <c r="E318" s="6" t="n">
        <v>97.4554492985634</v>
      </c>
    </row>
    <row r="319">
      <c r="A319" s="12" t="n">
        <v>45365</v>
      </c>
      <c r="B319" s="6" t="n">
        <v>94.4918271698988</v>
      </c>
      <c r="C319" s="6" t="n">
        <v>119.330243440748</v>
      </c>
      <c r="D319" s="6" t="n">
        <v>103.466204506066</v>
      </c>
      <c r="E319" s="6" t="n">
        <v>97.5295951468172</v>
      </c>
    </row>
    <row r="320">
      <c r="A320" s="12" t="n">
        <v>45366</v>
      </c>
      <c r="B320" s="6" t="n">
        <v>94.7377573158008</v>
      </c>
      <c r="C320" s="6" t="n">
        <v>119.383862961504</v>
      </c>
      <c r="D320" s="6" t="n">
        <v>103.221531246814</v>
      </c>
      <c r="E320" s="6" t="n">
        <v>97.7613009226103</v>
      </c>
    </row>
    <row r="321">
      <c r="A321" s="12" t="n">
        <v>45369</v>
      </c>
      <c r="B321" s="6" t="n">
        <v>94.8379510789461</v>
      </c>
      <c r="C321" s="6" t="n">
        <v>119.23194098603</v>
      </c>
      <c r="D321" s="6" t="n">
        <v>103.160362932001</v>
      </c>
      <c r="E321" s="6" t="n">
        <v>97.8447150018958</v>
      </c>
    </row>
    <row r="322">
      <c r="A322" s="12" t="n">
        <v>45370</v>
      </c>
      <c r="B322" s="6" t="n">
        <v>95.2296176076048</v>
      </c>
      <c r="C322" s="6" t="n">
        <v>118.231043265266</v>
      </c>
      <c r="D322" s="6" t="n">
        <v>102.813742481395</v>
      </c>
      <c r="E322" s="6" t="n">
        <v>98.1876395500695</v>
      </c>
    </row>
    <row r="323">
      <c r="A323" s="12" t="n">
        <v>45371</v>
      </c>
      <c r="B323" s="6" t="n">
        <v>95.2751602272163</v>
      </c>
      <c r="C323" s="6" t="n">
        <v>118.722555538856</v>
      </c>
      <c r="D323" s="6" t="n">
        <v>102.966663268427</v>
      </c>
      <c r="E323" s="6" t="n">
        <v>98.3822724017357</v>
      </c>
    </row>
    <row r="324">
      <c r="A324" s="12" t="n">
        <v>45372</v>
      </c>
      <c r="B324" s="6" t="n">
        <v>94.9199277942467</v>
      </c>
      <c r="C324" s="6" t="n">
        <v>119.19619463886</v>
      </c>
      <c r="D324" s="6" t="n">
        <v>103.425425629524</v>
      </c>
      <c r="E324" s="6" t="n">
        <v>98.0300796225302</v>
      </c>
    </row>
    <row r="325">
      <c r="A325" s="12" t="n">
        <v>45373</v>
      </c>
      <c r="B325" s="6" t="n">
        <v>95.3753539903615</v>
      </c>
      <c r="C325" s="6" t="n">
        <v>119.374926374711</v>
      </c>
      <c r="D325" s="6" t="n">
        <v>103.180752370272</v>
      </c>
      <c r="E325" s="6" t="n">
        <v>98.0393478535619</v>
      </c>
    </row>
    <row r="326">
      <c r="A326" s="12" t="n">
        <v>45376</v>
      </c>
      <c r="B326" s="6" t="n">
        <v>95.2569431793717</v>
      </c>
      <c r="C326" s="6" t="n">
        <v>119.428545895466</v>
      </c>
      <c r="D326" s="6" t="n">
        <v>102.987052706698</v>
      </c>
      <c r="E326" s="6" t="n">
        <v>98.1969077811012</v>
      </c>
    </row>
    <row r="327">
      <c r="A327" s="12" t="n">
        <v>45377</v>
      </c>
      <c r="B327" s="6" t="n">
        <v>95.2114005597602</v>
      </c>
      <c r="C327" s="6" t="n">
        <v>119.79494595396</v>
      </c>
      <c r="D327" s="6" t="n">
        <v>103.201141808543</v>
      </c>
      <c r="E327" s="6" t="n">
        <v>98.0949572397523</v>
      </c>
    </row>
    <row r="328">
      <c r="A328" s="12" t="n">
        <v>45378</v>
      </c>
      <c r="B328" s="6" t="n">
        <v>95.3298113707501</v>
      </c>
      <c r="C328" s="6" t="n">
        <v>120.688604633214</v>
      </c>
      <c r="D328" s="6" t="n">
        <v>102.925884391885</v>
      </c>
      <c r="E328" s="6" t="n">
        <v>98.1505666259426</v>
      </c>
    </row>
    <row r="329">
      <c r="A329" s="12" t="n">
        <v>45379</v>
      </c>
      <c r="B329" s="6" t="n">
        <v>95.2933772750609</v>
      </c>
      <c r="C329" s="6" t="n">
        <v>120.742224153969</v>
      </c>
      <c r="D329" s="6" t="n">
        <v>103.160362932001</v>
      </c>
      <c r="E329" s="6" t="n">
        <v>98.1505666259426</v>
      </c>
    </row>
    <row r="330">
      <c r="A330" s="12" t="n">
        <v>45380</v>
      </c>
      <c r="B330" s="6" t="n">
        <v>95.2933772750609</v>
      </c>
      <c r="C330" s="6" t="n">
        <v>120.742224153969</v>
      </c>
      <c r="D330" s="6" t="n">
        <v>103.150168212866</v>
      </c>
      <c r="E330" s="6" t="n">
        <v>98.1320301638792</v>
      </c>
    </row>
    <row r="331">
      <c r="A331" s="12" t="n">
        <v>45383</v>
      </c>
      <c r="B331" s="6" t="n">
        <v>95.3024857989832</v>
      </c>
      <c r="C331" s="6" t="n">
        <v>120.751160740762</v>
      </c>
      <c r="D331" s="6" t="n">
        <v>103.160362932001</v>
      </c>
      <c r="E331" s="6" t="n">
        <v>98.1598348569743</v>
      </c>
    </row>
    <row r="332">
      <c r="A332" s="12" t="n">
        <v>45384</v>
      </c>
      <c r="B332" s="6" t="n">
        <v>95.5301988970406</v>
      </c>
      <c r="C332" s="6" t="n">
        <v>120.670731459629</v>
      </c>
      <c r="D332" s="6" t="n">
        <v>103.364257314711</v>
      </c>
      <c r="E332" s="6" t="n">
        <v>98.2988583224502</v>
      </c>
    </row>
    <row r="333">
      <c r="A333" s="12" t="n">
        <v>45385</v>
      </c>
      <c r="B333" s="6" t="n">
        <v>95.4573307056622</v>
      </c>
      <c r="C333" s="6" t="n">
        <v>120.822653435102</v>
      </c>
      <c r="D333" s="6" t="n">
        <v>103.303088999898</v>
      </c>
      <c r="E333" s="6" t="n">
        <v>98.2247124741964</v>
      </c>
    </row>
    <row r="334">
      <c r="A334" s="12" t="n">
        <v>45386</v>
      </c>
      <c r="B334" s="6" t="n">
        <v>95.1931835119156</v>
      </c>
      <c r="C334" s="6" t="n">
        <v>120.831590021895</v>
      </c>
      <c r="D334" s="6" t="n">
        <v>103.65990416964</v>
      </c>
      <c r="E334" s="6" t="n">
        <v>97.9837384673716</v>
      </c>
    </row>
    <row r="335">
      <c r="A335" s="12" t="n">
        <v>45387</v>
      </c>
      <c r="B335" s="6" t="n">
        <v>95.2114005597602</v>
      </c>
      <c r="C335" s="6" t="n">
        <v>121.108624212463</v>
      </c>
      <c r="D335" s="6" t="n">
        <v>103.190947089408</v>
      </c>
      <c r="E335" s="6" t="n">
        <v>97.9837384673716</v>
      </c>
    </row>
    <row r="336">
      <c r="A336" s="12" t="n">
        <v>45390</v>
      </c>
      <c r="B336" s="6" t="n">
        <v>95.2751602272163</v>
      </c>
      <c r="C336" s="6" t="n">
        <v>121.698438940771</v>
      </c>
      <c r="D336" s="6" t="n">
        <v>102.956468549291</v>
      </c>
      <c r="E336" s="6" t="n">
        <v>98.1412983949109</v>
      </c>
    </row>
    <row r="337">
      <c r="A337" s="12" t="n">
        <v>45391</v>
      </c>
      <c r="B337" s="6" t="n">
        <v>94.9836874617028</v>
      </c>
      <c r="C337" s="6" t="n">
        <v>122.60997079361</v>
      </c>
      <c r="D337" s="6" t="n">
        <v>103.007442144969</v>
      </c>
      <c r="E337" s="6" t="n">
        <v>97.8910561570544</v>
      </c>
    </row>
    <row r="338">
      <c r="A338" s="12" t="n">
        <v>45392</v>
      </c>
      <c r="B338" s="6" t="n">
        <v>95.0019045095474</v>
      </c>
      <c r="C338" s="6" t="n">
        <v>122.511668338892</v>
      </c>
      <c r="D338" s="6" t="n">
        <v>103.099194617188</v>
      </c>
      <c r="E338" s="6" t="n">
        <v>97.9281290811813</v>
      </c>
    </row>
    <row r="339">
      <c r="A339" s="12" t="n">
        <v>45393</v>
      </c>
      <c r="B339" s="6" t="n">
        <v>95.6759352797973</v>
      </c>
      <c r="C339" s="6" t="n">
        <v>122.002282891717</v>
      </c>
      <c r="D339" s="6" t="n">
        <v>102.426343154246</v>
      </c>
      <c r="E339" s="6" t="n">
        <v>98.5676370223701</v>
      </c>
    </row>
    <row r="340">
      <c r="A340" s="12" t="n">
        <v>45394</v>
      </c>
      <c r="B340" s="6" t="n">
        <v>96.0220591888445</v>
      </c>
      <c r="C340" s="6" t="n">
        <v>121.62694624643</v>
      </c>
      <c r="D340" s="6" t="n">
        <v>102.151085737588</v>
      </c>
      <c r="E340" s="6" t="n">
        <v>98.9012933395122</v>
      </c>
    </row>
    <row r="341">
      <c r="A341" s="12" t="n">
        <v>45397</v>
      </c>
      <c r="B341" s="6" t="n">
        <v>96.1222529519898</v>
      </c>
      <c r="C341" s="6" t="n">
        <v>121.332038882277</v>
      </c>
      <c r="D341" s="6" t="n">
        <v>102.222448771536</v>
      </c>
      <c r="E341" s="6" t="n">
        <v>99.0310485739563</v>
      </c>
    </row>
    <row r="342">
      <c r="A342" s="12" t="n">
        <v>45398</v>
      </c>
      <c r="B342" s="6" t="n">
        <v>96.5503535763377</v>
      </c>
      <c r="C342" s="6" t="n">
        <v>119.517911763392</v>
      </c>
      <c r="D342" s="6" t="n">
        <v>102.049138546233</v>
      </c>
      <c r="E342" s="6" t="n">
        <v>99.37397312213</v>
      </c>
    </row>
    <row r="343">
      <c r="A343" s="12" t="n">
        <v>45399</v>
      </c>
      <c r="B343" s="6" t="n">
        <v>96.6869814351722</v>
      </c>
      <c r="C343" s="6" t="n">
        <v>118.472331108665</v>
      </c>
      <c r="D343" s="6" t="n">
        <v>101.947191354878</v>
      </c>
      <c r="E343" s="6" t="n">
        <v>99.37397312213</v>
      </c>
    </row>
    <row r="344">
      <c r="A344" s="12" t="n">
        <v>45400</v>
      </c>
      <c r="B344" s="6" t="n">
        <v>96.4501598131925</v>
      </c>
      <c r="C344" s="6" t="n">
        <v>118.686809191686</v>
      </c>
      <c r="D344" s="6" t="n">
        <v>102.273422367214</v>
      </c>
      <c r="E344" s="6" t="n">
        <v>99.1515355773687</v>
      </c>
    </row>
    <row r="345">
      <c r="A345" s="12" t="n">
        <v>45401</v>
      </c>
      <c r="B345" s="6" t="n">
        <v>96.896477485385</v>
      </c>
      <c r="C345" s="6" t="n">
        <v>115.996896567132</v>
      </c>
      <c r="D345" s="6" t="n">
        <v>102.354980120298</v>
      </c>
      <c r="E345" s="6" t="n">
        <v>99.3276319669714</v>
      </c>
    </row>
    <row r="346">
      <c r="A346" s="12" t="n">
        <v>45404</v>
      </c>
      <c r="B346" s="6" t="n">
        <v>96.7507411026282</v>
      </c>
      <c r="C346" s="6" t="n">
        <v>117.533989495448</v>
      </c>
      <c r="D346" s="6" t="n">
        <v>102.640432256091</v>
      </c>
      <c r="E346" s="6" t="n">
        <v>99.3183637359397</v>
      </c>
    </row>
    <row r="347">
      <c r="A347" s="12" t="n">
        <v>45405</v>
      </c>
      <c r="B347" s="6" t="n">
        <v>96.6232217677161</v>
      </c>
      <c r="C347" s="6" t="n">
        <v>117.498243148278</v>
      </c>
      <c r="D347" s="6" t="n">
        <v>102.772963604853</v>
      </c>
      <c r="E347" s="6" t="n">
        <v>99.1237308842735</v>
      </c>
    </row>
    <row r="348">
      <c r="A348" s="12" t="n">
        <v>45406</v>
      </c>
      <c r="B348" s="6" t="n">
        <v>96.4228342414256</v>
      </c>
      <c r="C348" s="6" t="n">
        <v>118.829794580366</v>
      </c>
      <c r="D348" s="6" t="n">
        <v>102.762768885717</v>
      </c>
      <c r="E348" s="6" t="n">
        <v>99.0588532670514</v>
      </c>
    </row>
    <row r="349">
      <c r="A349" s="12" t="n">
        <v>45407</v>
      </c>
      <c r="B349" s="6" t="n">
        <v>96.4319427653479</v>
      </c>
      <c r="C349" s="6" t="n">
        <v>117.96294566149</v>
      </c>
      <c r="D349" s="6" t="n">
        <v>102.874910796208</v>
      </c>
      <c r="E349" s="6" t="n">
        <v>98.9847074187977</v>
      </c>
    </row>
    <row r="350">
      <c r="A350" s="12" t="n">
        <v>45408</v>
      </c>
      <c r="B350" s="6" t="n">
        <v>96.6414388155607</v>
      </c>
      <c r="C350" s="6" t="n">
        <v>116.667140576572</v>
      </c>
      <c r="D350" s="6" t="n">
        <v>103.099194617188</v>
      </c>
      <c r="E350" s="6" t="n">
        <v>99.1237308842735</v>
      </c>
    </row>
    <row r="351">
      <c r="A351" s="12" t="n">
        <v>45411</v>
      </c>
      <c r="B351" s="6" t="n">
        <v>96.4410512892702</v>
      </c>
      <c r="C351" s="6" t="n">
        <v>117.605482189789</v>
      </c>
      <c r="D351" s="6" t="n">
        <v>103.048221021511</v>
      </c>
      <c r="E351" s="6" t="n">
        <v>99.0773897291149</v>
      </c>
    </row>
    <row r="352">
      <c r="A352" s="12" t="n">
        <v>45412</v>
      </c>
      <c r="B352" s="6" t="n">
        <v>96.4319427653479</v>
      </c>
      <c r="C352" s="6" t="n">
        <v>118.472331108665</v>
      </c>
      <c r="D352" s="6" t="n">
        <v>102.762768885717</v>
      </c>
      <c r="E352" s="6" t="n">
        <v>99.1793402704638</v>
      </c>
    </row>
    <row r="353">
      <c r="A353" s="12" t="n">
        <v>45413</v>
      </c>
      <c r="B353" s="6" t="n">
        <v>96.4319427653479</v>
      </c>
      <c r="C353" s="6" t="n">
        <v>118.472331108665</v>
      </c>
      <c r="D353" s="6" t="n">
        <v>102.762768885717</v>
      </c>
      <c r="E353" s="6" t="n">
        <v>99.1700720394321</v>
      </c>
    </row>
    <row r="354">
      <c r="A354" s="12" t="n">
        <v>45414</v>
      </c>
      <c r="B354" s="6" t="n">
        <v>96.3499660500472</v>
      </c>
      <c r="C354" s="6" t="n">
        <v>118.668936018101</v>
      </c>
      <c r="D354" s="6" t="n">
        <v>102.487511469059</v>
      </c>
      <c r="E354" s="6" t="n">
        <v>98.9847074187977</v>
      </c>
    </row>
    <row r="355">
      <c r="A355" s="12" t="n">
        <v>45415</v>
      </c>
      <c r="B355" s="6" t="n">
        <v>96.0311677127669</v>
      </c>
      <c r="C355" s="6" t="n">
        <v>118.382965240739</v>
      </c>
      <c r="D355" s="6" t="n">
        <v>102.762768885717</v>
      </c>
      <c r="E355" s="6" t="n">
        <v>98.5305640982433</v>
      </c>
    </row>
    <row r="356">
      <c r="A356" s="12" t="n">
        <v>45418</v>
      </c>
      <c r="B356" s="6" t="n">
        <v>95.8398887103986</v>
      </c>
      <c r="C356" s="6" t="n">
        <v>118.427648174702</v>
      </c>
      <c r="D356" s="6" t="n">
        <v>102.609848098685</v>
      </c>
      <c r="E356" s="6" t="n">
        <v>98.8827568774487</v>
      </c>
    </row>
    <row r="357">
      <c r="A357" s="12" t="n">
        <v>45419</v>
      </c>
      <c r="B357" s="6" t="n">
        <v>95.912756901777</v>
      </c>
      <c r="C357" s="6" t="n">
        <v>118.883414101122</v>
      </c>
      <c r="D357" s="6" t="n">
        <v>102.558874503007</v>
      </c>
      <c r="E357" s="6" t="n">
        <v>98.8549521843535</v>
      </c>
    </row>
    <row r="358">
      <c r="A358" s="12" t="n">
        <v>45420</v>
      </c>
      <c r="B358" s="6" t="n">
        <v>96.2042296672905</v>
      </c>
      <c r="C358" s="6" t="n">
        <v>118.552760389798</v>
      </c>
      <c r="D358" s="6" t="n">
        <v>102.07972270364</v>
      </c>
      <c r="E358" s="6" t="n">
        <v>98.9569027257025</v>
      </c>
    </row>
    <row r="359">
      <c r="A359" s="12" t="n">
        <v>45421</v>
      </c>
      <c r="B359" s="6" t="n">
        <v>96.2315552390574</v>
      </c>
      <c r="C359" s="6" t="n">
        <v>118.579570150175</v>
      </c>
      <c r="D359" s="6" t="n">
        <v>102.39575899684</v>
      </c>
      <c r="E359" s="6" t="n">
        <v>99.0773897291149</v>
      </c>
    </row>
    <row r="360">
      <c r="A360" s="12" t="n">
        <v>45422</v>
      </c>
      <c r="B360" s="6" t="n">
        <v>95.9218654256993</v>
      </c>
      <c r="C360" s="6" t="n">
        <v>119.669833738865</v>
      </c>
      <c r="D360" s="6" t="n">
        <v>102.579263941278</v>
      </c>
      <c r="E360" s="6" t="n">
        <v>98.873488646417</v>
      </c>
    </row>
    <row r="361">
      <c r="A361" s="12" t="n">
        <v>45425</v>
      </c>
      <c r="B361" s="6" t="n">
        <v>95.8854313300101</v>
      </c>
      <c r="C361" s="6" t="n">
        <v>119.857502061508</v>
      </c>
      <c r="D361" s="6" t="n">
        <v>102.650626975227</v>
      </c>
      <c r="E361" s="6" t="n">
        <v>98.6973922568143</v>
      </c>
    </row>
    <row r="362">
      <c r="A362" s="12" t="n">
        <v>45426</v>
      </c>
      <c r="B362" s="6" t="n">
        <v>95.9400824735439</v>
      </c>
      <c r="C362" s="6" t="n">
        <v>119.437482482259</v>
      </c>
      <c r="D362" s="6" t="n">
        <v>102.71179529004</v>
      </c>
      <c r="E362" s="6" t="n">
        <v>98.7251969499094</v>
      </c>
    </row>
    <row r="363">
      <c r="A363" s="12" t="n">
        <v>45427</v>
      </c>
      <c r="B363" s="6" t="n">
        <v>95.7305864233311</v>
      </c>
      <c r="C363" s="6" t="n">
        <v>118.785111646404</v>
      </c>
      <c r="D363" s="6" t="n">
        <v>102.874910796208</v>
      </c>
      <c r="E363" s="6" t="n">
        <v>98.604709946497</v>
      </c>
    </row>
    <row r="364">
      <c r="A364" s="12" t="n">
        <v>45428</v>
      </c>
      <c r="B364" s="6" t="n">
        <v>95.4300051338953</v>
      </c>
      <c r="C364" s="6" t="n">
        <v>119.61621421811</v>
      </c>
      <c r="D364" s="6" t="n">
        <v>102.732184728311</v>
      </c>
      <c r="E364" s="6" t="n">
        <v>98.3173947845136</v>
      </c>
    </row>
    <row r="365">
      <c r="A365" s="12" t="n">
        <v>45429</v>
      </c>
      <c r="B365" s="6" t="n">
        <v>95.5575244688074</v>
      </c>
      <c r="C365" s="6" t="n">
        <v>120.089853318114</v>
      </c>
      <c r="D365" s="6" t="n">
        <v>102.772963604853</v>
      </c>
      <c r="E365" s="6" t="n">
        <v>98.4100770948309</v>
      </c>
    </row>
    <row r="366">
      <c r="A366" s="12" t="n">
        <v>45432</v>
      </c>
      <c r="B366" s="6" t="n">
        <v>95.4664392295845</v>
      </c>
      <c r="C366" s="6" t="n">
        <v>120.643921699251</v>
      </c>
      <c r="D366" s="6" t="n">
        <v>102.803547762259</v>
      </c>
      <c r="E366" s="6" t="n">
        <v>98.271053629355</v>
      </c>
    </row>
    <row r="367">
      <c r="A367" s="12" t="n">
        <v>45433</v>
      </c>
      <c r="B367" s="6" t="n">
        <v>95.4391136578176</v>
      </c>
      <c r="C367" s="6" t="n">
        <v>121.046068104916</v>
      </c>
      <c r="D367" s="6" t="n">
        <v>102.834131919666</v>
      </c>
      <c r="E367" s="6" t="n">
        <v>98.2803218603867</v>
      </c>
    </row>
    <row r="368">
      <c r="A368" s="12" t="n">
        <v>45434</v>
      </c>
      <c r="B368" s="6" t="n">
        <v>95.6941523276419</v>
      </c>
      <c r="C368" s="6" t="n">
        <v>120.375824095475</v>
      </c>
      <c r="D368" s="6" t="n">
        <v>102.518095626465</v>
      </c>
      <c r="E368" s="6" t="n">
        <v>98.3915406327674</v>
      </c>
    </row>
    <row r="369">
      <c r="A369" s="12" t="n">
        <v>45435</v>
      </c>
      <c r="B369" s="6" t="n">
        <v>95.6030670884189</v>
      </c>
      <c r="C369" s="6" t="n">
        <v>120.500936310571</v>
      </c>
      <c r="D369" s="6" t="n">
        <v>102.548679783872</v>
      </c>
      <c r="E369" s="6" t="n">
        <v>98.2988583224502</v>
      </c>
    </row>
    <row r="370">
      <c r="A370" s="12" t="n">
        <v>45436</v>
      </c>
      <c r="B370" s="6" t="n">
        <v>95.7761290429426</v>
      </c>
      <c r="C370" s="6" t="n">
        <v>120.223902120002</v>
      </c>
      <c r="D370" s="6" t="n">
        <v>102.253032928943</v>
      </c>
      <c r="E370" s="6" t="n">
        <v>98.3915406327674</v>
      </c>
    </row>
    <row r="371">
      <c r="A371" s="12" t="n">
        <v>45439</v>
      </c>
      <c r="B371" s="6" t="n">
        <v>95.7032608515642</v>
      </c>
      <c r="C371" s="6" t="n">
        <v>120.188155772832</v>
      </c>
      <c r="D371" s="6" t="n">
        <v>102.62004281782</v>
      </c>
      <c r="E371" s="6" t="n">
        <v>98.3266630155454</v>
      </c>
    </row>
    <row r="372">
      <c r="A372" s="12" t="n">
        <v>45440</v>
      </c>
      <c r="B372" s="6" t="n">
        <v>95.5028733252737</v>
      </c>
      <c r="C372" s="6" t="n">
        <v>120.375824095475</v>
      </c>
      <c r="D372" s="6" t="n">
        <v>102.854521357937</v>
      </c>
      <c r="E372" s="6" t="n">
        <v>98.0856890087206</v>
      </c>
    </row>
    <row r="373">
      <c r="A373" s="12" t="n">
        <v>45441</v>
      </c>
      <c r="B373" s="6" t="n">
        <v>95.8489972343209</v>
      </c>
      <c r="C373" s="6" t="n">
        <v>119.267687333201</v>
      </c>
      <c r="D373" s="6" t="n">
        <v>102.640432256091</v>
      </c>
      <c r="E373" s="6" t="n">
        <v>98.3359312465771</v>
      </c>
    </row>
    <row r="374">
      <c r="A374" s="12" t="n">
        <v>45442</v>
      </c>
      <c r="B374" s="6" t="n">
        <v>96.1131444280675</v>
      </c>
      <c r="C374" s="6" t="n">
        <v>117.909326140735</v>
      </c>
      <c r="D374" s="6" t="n">
        <v>102.416148435111</v>
      </c>
      <c r="E374" s="6" t="n">
        <v>98.7159287188777</v>
      </c>
    </row>
    <row r="375">
      <c r="A375" s="12" t="n">
        <v>45443</v>
      </c>
      <c r="B375" s="6" t="n">
        <v>96.0220591888445</v>
      </c>
      <c r="C375" s="6" t="n">
        <v>118.088057876586</v>
      </c>
      <c r="D375" s="6" t="n">
        <v>102.905494953614</v>
      </c>
      <c r="E375" s="6" t="n">
        <v>98.6510511016556</v>
      </c>
    </row>
    <row r="376">
      <c r="A376" s="12" t="n">
        <v>45446</v>
      </c>
      <c r="B376" s="6" t="n">
        <v>96.4137257175033</v>
      </c>
      <c r="C376" s="6" t="n">
        <v>114.397247531268</v>
      </c>
      <c r="D376" s="6" t="n">
        <v>103.109389336324</v>
      </c>
      <c r="E376" s="6" t="n">
        <v>98.5954417154653</v>
      </c>
    </row>
    <row r="377">
      <c r="A377" s="12" t="n">
        <v>45447</v>
      </c>
      <c r="B377" s="6" t="n">
        <v>96.6050047198715</v>
      </c>
      <c r="C377" s="6" t="n">
        <v>111.510729997278</v>
      </c>
      <c r="D377" s="6" t="n">
        <v>102.844326638801</v>
      </c>
      <c r="E377" s="6" t="n">
        <v>98.5676370223701</v>
      </c>
    </row>
    <row r="378">
      <c r="A378" s="12" t="n">
        <v>45448</v>
      </c>
      <c r="B378" s="6" t="n">
        <v>96.4228342414256</v>
      </c>
      <c r="C378" s="6" t="n">
        <v>113.610827893525</v>
      </c>
      <c r="D378" s="6" t="n">
        <v>102.793353043124</v>
      </c>
      <c r="E378" s="6" t="n">
        <v>98.4100770948309</v>
      </c>
    </row>
    <row r="379">
      <c r="A379" s="12" t="n">
        <v>45449</v>
      </c>
      <c r="B379" s="6" t="n">
        <v>96.3955086696587</v>
      </c>
      <c r="C379" s="6" t="n">
        <v>113.932545018056</v>
      </c>
      <c r="D379" s="6" t="n">
        <v>102.62004281782</v>
      </c>
      <c r="E379" s="6" t="n">
        <v>98.4193453258626</v>
      </c>
    </row>
    <row r="380">
      <c r="A380" s="12" t="n">
        <v>45450</v>
      </c>
      <c r="B380" s="6" t="n">
        <v>96.4592683371148</v>
      </c>
      <c r="C380" s="6" t="n">
        <v>112.020115444453</v>
      </c>
      <c r="D380" s="6" t="n">
        <v>102.793353043124</v>
      </c>
      <c r="E380" s="6" t="n">
        <v>98.3544677086405</v>
      </c>
    </row>
    <row r="381">
      <c r="A381" s="12" t="n">
        <v>45453</v>
      </c>
      <c r="B381" s="6" t="n">
        <v>97.3245781097329</v>
      </c>
      <c r="C381" s="6" t="n">
        <v>109.419568687825</v>
      </c>
      <c r="D381" s="6" t="n">
        <v>102.518095626465</v>
      </c>
      <c r="E381" s="6" t="n">
        <v>98.9105615705439</v>
      </c>
    </row>
    <row r="382">
      <c r="A382" s="12" t="n">
        <v>45454</v>
      </c>
      <c r="B382" s="6" t="n">
        <v>97.4156633489558</v>
      </c>
      <c r="C382" s="6" t="n">
        <v>109.517871142543</v>
      </c>
      <c r="D382" s="6" t="n">
        <v>102.456927311653</v>
      </c>
      <c r="E382" s="6" t="n">
        <v>98.9105615705439</v>
      </c>
    </row>
    <row r="383">
      <c r="A383" s="12" t="n">
        <v>45455</v>
      </c>
      <c r="B383" s="6" t="n">
        <v>97.6707020187801</v>
      </c>
      <c r="C383" s="6" t="n">
        <v>106.720719476478</v>
      </c>
      <c r="D383" s="6" t="n">
        <v>102.793353043124</v>
      </c>
      <c r="E383" s="6" t="n">
        <v>98.9290980326073</v>
      </c>
    </row>
    <row r="384">
      <c r="A384" s="12" t="n">
        <v>45456</v>
      </c>
      <c r="B384" s="6" t="n">
        <v>97.5249656360234</v>
      </c>
      <c r="C384" s="6" t="n">
        <v>107.471392767052</v>
      </c>
      <c r="D384" s="6" t="n">
        <v>102.71179529004</v>
      </c>
      <c r="E384" s="6" t="n">
        <v>98.8456839533218</v>
      </c>
    </row>
    <row r="385">
      <c r="A385" s="12" t="n">
        <v>45457</v>
      </c>
      <c r="B385" s="6" t="n">
        <v>97.6889190666247</v>
      </c>
      <c r="C385" s="6" t="n">
        <v>108.356114859513</v>
      </c>
      <c r="D385" s="6" t="n">
        <v>102.701600570904</v>
      </c>
      <c r="E385" s="6" t="n">
        <v>99.1144626532418</v>
      </c>
    </row>
    <row r="386">
      <c r="A386" s="12" t="n">
        <v>45460</v>
      </c>
      <c r="B386" s="6" t="n">
        <v>97.6707020187801</v>
      </c>
      <c r="C386" s="6" t="n">
        <v>108.552719768949</v>
      </c>
      <c r="D386" s="6" t="n">
        <v>102.793353043124</v>
      </c>
      <c r="E386" s="6" t="n">
        <v>99.1144626532418</v>
      </c>
    </row>
    <row r="387">
      <c r="A387" s="12" t="n">
        <v>45461</v>
      </c>
      <c r="B387" s="6" t="n">
        <v>97.5705082556349</v>
      </c>
      <c r="C387" s="6" t="n">
        <v>109.383822340655</v>
      </c>
      <c r="D387" s="6" t="n">
        <v>102.742379447446</v>
      </c>
      <c r="E387" s="6" t="n">
        <v>99.1237308842735</v>
      </c>
    </row>
    <row r="388">
      <c r="A388" s="12" t="n">
        <v>45462</v>
      </c>
      <c r="B388" s="6" t="n">
        <v>97.4612059685673</v>
      </c>
      <c r="C388" s="6" t="n">
        <v>108.856563719895</v>
      </c>
      <c r="D388" s="6" t="n">
        <v>102.976857987562</v>
      </c>
      <c r="E388" s="6" t="n">
        <v>98.9012933395122</v>
      </c>
    </row>
    <row r="389">
      <c r="A389" s="12" t="n">
        <v>45463</v>
      </c>
      <c r="B389" s="6" t="n">
        <v>97.5340741599457</v>
      </c>
      <c r="C389" s="6" t="n">
        <v>109.240836951974</v>
      </c>
      <c r="D389" s="6" t="n">
        <v>103.017636864104</v>
      </c>
      <c r="E389" s="6" t="n">
        <v>98.9569027257025</v>
      </c>
    </row>
    <row r="390">
      <c r="A390" s="12" t="n">
        <v>45464</v>
      </c>
      <c r="B390" s="6" t="n">
        <v>97.5249656360234</v>
      </c>
      <c r="C390" s="6" t="n">
        <v>110.214924912361</v>
      </c>
      <c r="D390" s="6" t="n">
        <v>103.190947089408</v>
      </c>
      <c r="E390" s="6" t="n">
        <v>99.0959261911783</v>
      </c>
    </row>
    <row r="391">
      <c r="A391" s="12" t="n">
        <v>45467</v>
      </c>
      <c r="B391" s="6" t="n">
        <v>97.3063610618883</v>
      </c>
      <c r="C391" s="6" t="n">
        <v>111.385617782183</v>
      </c>
      <c r="D391" s="6" t="n">
        <v>103.150168212866</v>
      </c>
      <c r="E391" s="6" t="n">
        <v>99.040316804988</v>
      </c>
    </row>
    <row r="392">
      <c r="A392" s="12" t="n">
        <v>45468</v>
      </c>
      <c r="B392" s="6" t="n">
        <v>97.3336866336552</v>
      </c>
      <c r="C392" s="6" t="n">
        <v>111.573286104826</v>
      </c>
      <c r="D392" s="6" t="n">
        <v>103.241920685085</v>
      </c>
      <c r="E392" s="6" t="n">
        <v>99.0773897291149</v>
      </c>
    </row>
    <row r="393">
      <c r="A393" s="12" t="n">
        <v>45469</v>
      </c>
      <c r="B393" s="6" t="n">
        <v>97.6524849709355</v>
      </c>
      <c r="C393" s="6" t="n">
        <v>110.500895689722</v>
      </c>
      <c r="D393" s="6" t="n">
        <v>103.292894280763</v>
      </c>
      <c r="E393" s="6" t="n">
        <v>99.2627543497493</v>
      </c>
    </row>
    <row r="394">
      <c r="A394" s="12" t="n">
        <v>45470</v>
      </c>
      <c r="B394" s="6" t="n">
        <v>97.7800043058477</v>
      </c>
      <c r="C394" s="6" t="n">
        <v>109.54468090292</v>
      </c>
      <c r="D394" s="6" t="n">
        <v>103.272504842492</v>
      </c>
      <c r="E394" s="6" t="n">
        <v>99.2349496566542</v>
      </c>
    </row>
    <row r="395">
      <c r="A395" s="12" t="n">
        <v>45471</v>
      </c>
      <c r="B395" s="6" t="n">
        <v>97.6069423513241</v>
      </c>
      <c r="C395" s="6" t="n">
        <v>110.214924912361</v>
      </c>
      <c r="D395" s="6" t="n">
        <v>103.119584055459</v>
      </c>
      <c r="E395" s="6" t="n">
        <v>99.1515355773687</v>
      </c>
    </row>
    <row r="396">
      <c r="A396" s="12" t="n">
        <v>45474</v>
      </c>
      <c r="B396" s="6" t="n">
        <v>97.6524849709355</v>
      </c>
      <c r="C396" s="6" t="n">
        <v>109.696602878393</v>
      </c>
      <c r="D396" s="6" t="n">
        <v>103.23172596595</v>
      </c>
      <c r="E396" s="6" t="n">
        <v>99.0866579601466</v>
      </c>
    </row>
    <row r="397">
      <c r="A397" s="12" t="n">
        <v>45475</v>
      </c>
      <c r="B397" s="6" t="n">
        <v>97.8073298776146</v>
      </c>
      <c r="C397" s="6" t="n">
        <v>109.911080961414</v>
      </c>
      <c r="D397" s="6" t="n">
        <v>103.02783158324</v>
      </c>
      <c r="E397" s="6" t="n">
        <v>99.2627543497493</v>
      </c>
    </row>
    <row r="398">
      <c r="A398" s="12" t="n">
        <v>45476</v>
      </c>
      <c r="B398" s="6" t="n">
        <v>97.6707020187801</v>
      </c>
      <c r="C398" s="6" t="n">
        <v>110.313227367078</v>
      </c>
      <c r="D398" s="6" t="n">
        <v>103.435620348659</v>
      </c>
      <c r="E398" s="6" t="n">
        <v>99.1886085014956</v>
      </c>
    </row>
    <row r="399">
      <c r="A399" s="12" t="n">
        <v>45477</v>
      </c>
      <c r="B399" s="6" t="n">
        <v>97.2790354901214</v>
      </c>
      <c r="C399" s="6" t="n">
        <v>110.992407963311</v>
      </c>
      <c r="D399" s="6" t="n">
        <v>103.65990416964</v>
      </c>
      <c r="E399" s="6" t="n">
        <v>98.873488646417</v>
      </c>
    </row>
    <row r="400">
      <c r="A400" s="12" t="n">
        <v>45478</v>
      </c>
      <c r="B400" s="6" t="n">
        <v>97.1241905834424</v>
      </c>
      <c r="C400" s="6" t="n">
        <v>111.367744608598</v>
      </c>
      <c r="D400" s="6" t="n">
        <v>103.598735854827</v>
      </c>
      <c r="E400" s="6" t="n">
        <v>98.7808063360998</v>
      </c>
    </row>
    <row r="401">
      <c r="A401" s="12" t="n">
        <v>45481</v>
      </c>
      <c r="B401" s="6" t="n">
        <v>97.0968650116755</v>
      </c>
      <c r="C401" s="6" t="n">
        <v>111.519666584071</v>
      </c>
      <c r="D401" s="6" t="n">
        <v>103.425425629524</v>
      </c>
      <c r="E401" s="6" t="n">
        <v>98.7159287188777</v>
      </c>
    </row>
    <row r="402">
      <c r="A402" s="12" t="n">
        <v>45482</v>
      </c>
      <c r="B402" s="6" t="n">
        <v>97.1606246791315</v>
      </c>
      <c r="C402" s="6" t="n">
        <v>111.653715385959</v>
      </c>
      <c r="D402" s="6" t="n">
        <v>103.405036191253</v>
      </c>
      <c r="E402" s="6" t="n">
        <v>98.771538105068</v>
      </c>
    </row>
    <row r="403">
      <c r="A403" s="12" t="n">
        <v>45483</v>
      </c>
      <c r="B403" s="6" t="n">
        <v>96.9784542006856</v>
      </c>
      <c r="C403" s="6" t="n">
        <v>112.878027776537</v>
      </c>
      <c r="D403" s="6" t="n">
        <v>103.394841472117</v>
      </c>
      <c r="E403" s="6" t="n">
        <v>98.6603193326874</v>
      </c>
    </row>
    <row r="404">
      <c r="A404" s="12" t="n">
        <v>45484</v>
      </c>
      <c r="B404" s="6" t="n">
        <v>96.896477485385</v>
      </c>
      <c r="C404" s="6" t="n">
        <v>112.422261850117</v>
      </c>
      <c r="D404" s="6" t="n">
        <v>103.364257314711</v>
      </c>
      <c r="E404" s="6" t="n">
        <v>98.6788557947508</v>
      </c>
    </row>
    <row r="405">
      <c r="A405" s="12" t="n">
        <v>45485</v>
      </c>
      <c r="B405" s="6" t="n">
        <v>96.5048109567262</v>
      </c>
      <c r="C405" s="6" t="n">
        <v>113.163998553898</v>
      </c>
      <c r="D405" s="6" t="n">
        <v>103.252115404221</v>
      </c>
      <c r="E405" s="6" t="n">
        <v>98.4564182499895</v>
      </c>
    </row>
    <row r="406">
      <c r="A406" s="12" t="n">
        <v>45488</v>
      </c>
      <c r="B406" s="6" t="n">
        <v>96.55946210026</v>
      </c>
      <c r="C406" s="6" t="n">
        <v>112.806535082196</v>
      </c>
      <c r="D406" s="6" t="n">
        <v>103.109389336324</v>
      </c>
      <c r="E406" s="6" t="n">
        <v>98.3266630155454</v>
      </c>
    </row>
    <row r="407">
      <c r="A407" s="12" t="n">
        <v>45489</v>
      </c>
      <c r="B407" s="6" t="n">
        <v>96.5867876720269</v>
      </c>
      <c r="C407" s="6" t="n">
        <v>113.20868148786</v>
      </c>
      <c r="D407" s="6" t="n">
        <v>102.854521357937</v>
      </c>
      <c r="E407" s="6" t="n">
        <v>98.2988583224502</v>
      </c>
    </row>
    <row r="408">
      <c r="A408" s="12" t="n">
        <v>45490</v>
      </c>
      <c r="B408" s="6" t="n">
        <v>96.4137257175033</v>
      </c>
      <c r="C408" s="6" t="n">
        <v>112.797598495404</v>
      </c>
      <c r="D408" s="6" t="n">
        <v>102.793353043124</v>
      </c>
      <c r="E408" s="6" t="n">
        <v>98.1598348569743</v>
      </c>
    </row>
    <row r="409">
      <c r="A409" s="12" t="n">
        <v>45491</v>
      </c>
      <c r="B409" s="6" t="n">
        <v>96.4228342414256</v>
      </c>
      <c r="C409" s="6" t="n">
        <v>113.20868148786</v>
      </c>
      <c r="D409" s="6" t="n">
        <v>102.732184728311</v>
      </c>
      <c r="E409" s="6" t="n">
        <v>98.2339807052281</v>
      </c>
    </row>
    <row r="410">
      <c r="A410" s="12" t="n">
        <v>45492</v>
      </c>
      <c r="B410" s="6" t="n">
        <v>96.8509348657735</v>
      </c>
      <c r="C410" s="6" t="n">
        <v>112.172037419926</v>
      </c>
      <c r="D410" s="6" t="n">
        <v>102.650626975227</v>
      </c>
      <c r="E410" s="6" t="n">
        <v>98.437881787926</v>
      </c>
    </row>
    <row r="411">
      <c r="A411" s="12" t="n">
        <v>45495</v>
      </c>
      <c r="B411" s="6" t="n">
        <v>96.9784542006856</v>
      </c>
      <c r="C411" s="6" t="n">
        <v>111.385617782183</v>
      </c>
      <c r="D411" s="6" t="n">
        <v>102.446732592517</v>
      </c>
      <c r="E411" s="6" t="n">
        <v>98.4008088637991</v>
      </c>
    </row>
    <row r="412">
      <c r="A412" s="12" t="n">
        <v>45496</v>
      </c>
      <c r="B412" s="6" t="n">
        <v>96.960237152841</v>
      </c>
      <c r="C412" s="6" t="n">
        <v>111.787764187847</v>
      </c>
      <c r="D412" s="6" t="n">
        <v>102.365174839433</v>
      </c>
      <c r="E412" s="6" t="n">
        <v>98.373004170704</v>
      </c>
    </row>
    <row r="413">
      <c r="A413" s="12" t="n">
        <v>45497</v>
      </c>
      <c r="B413" s="6" t="n">
        <v>97.1059735355978</v>
      </c>
      <c r="C413" s="6" t="n">
        <v>110.018320002925</v>
      </c>
      <c r="D413" s="6" t="n">
        <v>102.242838209807</v>
      </c>
      <c r="E413" s="6" t="n">
        <v>98.2247124741964</v>
      </c>
    </row>
    <row r="414">
      <c r="A414" s="12" t="n">
        <v>45498</v>
      </c>
      <c r="B414" s="6" t="n">
        <v>97.1241905834424</v>
      </c>
      <c r="C414" s="6" t="n">
        <v>108.338241685928</v>
      </c>
      <c r="D414" s="6" t="n">
        <v>101.763686410439</v>
      </c>
      <c r="E414" s="6" t="n">
        <v>98.9661709567342</v>
      </c>
    </row>
    <row r="415">
      <c r="A415" s="12" t="n">
        <v>45499</v>
      </c>
      <c r="B415" s="6" t="n">
        <v>97.1332991073646</v>
      </c>
      <c r="C415" s="6" t="n">
        <v>109.47318820858</v>
      </c>
      <c r="D415" s="6" t="n">
        <v>101.957386074014</v>
      </c>
      <c r="E415" s="6" t="n">
        <v>98.5954417154653</v>
      </c>
    </row>
    <row r="416">
      <c r="A416" s="12" t="n">
        <v>45502</v>
      </c>
      <c r="B416" s="6" t="n">
        <v>97.3245781097329</v>
      </c>
      <c r="C416" s="6" t="n">
        <v>109.008485695368</v>
      </c>
      <c r="D416" s="6" t="n">
        <v>101.865633601794</v>
      </c>
      <c r="E416" s="6" t="n">
        <v>98.5861734844336</v>
      </c>
    </row>
    <row r="417">
      <c r="A417" s="12" t="n">
        <v>45503</v>
      </c>
      <c r="B417" s="6" t="n">
        <v>97.4703144924896</v>
      </c>
      <c r="C417" s="6" t="n">
        <v>107.945031867056</v>
      </c>
      <c r="D417" s="6" t="n">
        <v>101.845244163523</v>
      </c>
      <c r="E417" s="6" t="n">
        <v>98.7900745671315</v>
      </c>
    </row>
    <row r="418">
      <c r="A418" s="12" t="n">
        <v>45504</v>
      </c>
      <c r="B418" s="6" t="n">
        <v>97.1879502508984</v>
      </c>
      <c r="C418" s="6" t="n">
        <v>106.792212170819</v>
      </c>
      <c r="D418" s="6" t="n">
        <v>101.865633601794</v>
      </c>
      <c r="E418" s="6" t="n">
        <v>98.706660487846</v>
      </c>
    </row>
    <row r="419">
      <c r="A419" s="12" t="n">
        <v>45505</v>
      </c>
      <c r="B419" s="6" t="n">
        <v>97.1606246791315</v>
      </c>
      <c r="C419" s="6" t="n">
        <v>108.302495338758</v>
      </c>
      <c r="D419" s="6" t="n">
        <v>101.957386074014</v>
      </c>
      <c r="E419" s="6" t="n">
        <v>98.3637359396722</v>
      </c>
    </row>
    <row r="420">
      <c r="A420" s="12" t="n">
        <v>45506</v>
      </c>
      <c r="B420" s="6" t="n">
        <v>97.206167298743</v>
      </c>
      <c r="C420" s="6" t="n">
        <v>105.469597325523</v>
      </c>
      <c r="D420" s="6" t="n">
        <v>101.519013151188</v>
      </c>
      <c r="E420" s="6" t="n">
        <v>98.6881240257825</v>
      </c>
    </row>
    <row r="421">
      <c r="A421" s="12" t="n">
        <v>45509</v>
      </c>
      <c r="B421" s="6" t="n">
        <v>96.8327178179289</v>
      </c>
      <c r="C421" s="6" t="n">
        <v>100.992367342462</v>
      </c>
      <c r="D421" s="6" t="n">
        <v>101.447650117239</v>
      </c>
      <c r="E421" s="6" t="n">
        <v>99.1793402704638</v>
      </c>
    </row>
    <row r="422">
      <c r="A422" s="12" t="n">
        <v>45510</v>
      </c>
      <c r="B422" s="6" t="n">
        <v>96.9420201049964</v>
      </c>
      <c r="C422" s="6" t="n">
        <v>103.405245776447</v>
      </c>
      <c r="D422" s="6" t="n">
        <v>101.692323376491</v>
      </c>
      <c r="E422" s="6" t="n">
        <v>99.0959261911783</v>
      </c>
    </row>
    <row r="423">
      <c r="A423" s="12" t="n">
        <v>45511</v>
      </c>
      <c r="B423" s="6" t="n">
        <v>96.960237152841</v>
      </c>
      <c r="C423" s="6" t="n">
        <v>103.610787272676</v>
      </c>
      <c r="D423" s="6" t="n">
        <v>102.39575899684</v>
      </c>
      <c r="E423" s="6" t="n">
        <v>98.7344651809412</v>
      </c>
    </row>
    <row r="424">
      <c r="A424" s="12" t="n">
        <v>45512</v>
      </c>
      <c r="B424" s="6" t="n">
        <v>96.8236092940066</v>
      </c>
      <c r="C424" s="6" t="n">
        <v>103.753772661356</v>
      </c>
      <c r="D424" s="6" t="n">
        <v>102.334590682027</v>
      </c>
      <c r="E424" s="6" t="n">
        <v>98.6881240257825</v>
      </c>
    </row>
    <row r="425">
      <c r="A425" s="12" t="n">
        <v>45513</v>
      </c>
      <c r="B425" s="6" t="n">
        <v>96.5048109567262</v>
      </c>
      <c r="C425" s="6" t="n">
        <v>105.98791935949</v>
      </c>
      <c r="D425" s="6" t="n">
        <v>102.181669894994</v>
      </c>
      <c r="E425" s="6" t="n">
        <v>98.6232464085605</v>
      </c>
    </row>
    <row r="426">
      <c r="A426" s="12" t="n">
        <v>45516</v>
      </c>
      <c r="B426" s="6" t="n">
        <v>96.5503535763377</v>
      </c>
      <c r="C426" s="6" t="n">
        <v>106.095158401001</v>
      </c>
      <c r="D426" s="6" t="n">
        <v>102.344785401162</v>
      </c>
      <c r="E426" s="6" t="n">
        <v>98.5583687913384</v>
      </c>
    </row>
    <row r="427">
      <c r="A427" s="12" t="n">
        <v>45517</v>
      </c>
      <c r="B427" s="6" t="n">
        <v>96.55946210026</v>
      </c>
      <c r="C427" s="6" t="n">
        <v>105.290865589673</v>
      </c>
      <c r="D427" s="6" t="n">
        <v>102.283617086349</v>
      </c>
      <c r="E427" s="6" t="n">
        <v>98.7900745671315</v>
      </c>
    </row>
    <row r="428">
      <c r="A428" s="12" t="n">
        <v>45518</v>
      </c>
      <c r="B428" s="6" t="n">
        <v>96.1769040955236</v>
      </c>
      <c r="C428" s="6" t="n">
        <v>105.112133853822</v>
      </c>
      <c r="D428" s="6" t="n">
        <v>102.212254052401</v>
      </c>
      <c r="E428" s="6" t="n">
        <v>98.771538105068</v>
      </c>
    </row>
    <row r="429">
      <c r="A429" s="12" t="n">
        <v>45519</v>
      </c>
      <c r="B429" s="6" t="n">
        <v>96.1860126194459</v>
      </c>
      <c r="C429" s="6" t="n">
        <v>105.764504689677</v>
      </c>
      <c r="D429" s="6" t="n">
        <v>102.334590682027</v>
      </c>
      <c r="E429" s="6" t="n">
        <v>98.4749547120529</v>
      </c>
    </row>
    <row r="430">
      <c r="A430" s="12" t="n">
        <v>45520</v>
      </c>
      <c r="B430" s="6" t="n">
        <v>96.1495785237567</v>
      </c>
      <c r="C430" s="6" t="n">
        <v>106.684973129308</v>
      </c>
      <c r="D430" s="6" t="n">
        <v>102.140891018452</v>
      </c>
      <c r="E430" s="6" t="n">
        <v>98.4286135568943</v>
      </c>
    </row>
    <row r="431">
      <c r="A431" s="12" t="n">
        <v>45523</v>
      </c>
      <c r="B431" s="6" t="n">
        <v>95.7396949472534</v>
      </c>
      <c r="C431" s="6" t="n">
        <v>106.282826723644</v>
      </c>
      <c r="D431" s="6" t="n">
        <v>102.354980120298</v>
      </c>
      <c r="E431" s="6" t="n">
        <v>98.1783713190378</v>
      </c>
    </row>
    <row r="432">
      <c r="A432" s="12" t="n">
        <v>45524</v>
      </c>
      <c r="B432" s="6" t="n">
        <v>95.6303926601858</v>
      </c>
      <c r="C432" s="6" t="n">
        <v>105.666202234959</v>
      </c>
      <c r="D432" s="6" t="n">
        <v>102.803547762259</v>
      </c>
      <c r="E432" s="6" t="n">
        <v>97.9652020053082</v>
      </c>
    </row>
    <row r="433">
      <c r="A433" s="12" t="n">
        <v>45525</v>
      </c>
      <c r="B433" s="6" t="n">
        <v>95.6759352797973</v>
      </c>
      <c r="C433" s="6" t="n">
        <v>104.486572778344</v>
      </c>
      <c r="D433" s="6" t="n">
        <v>102.885105515343</v>
      </c>
      <c r="E433" s="6" t="n">
        <v>98.0764207776888</v>
      </c>
    </row>
    <row r="434">
      <c r="A434" s="12" t="n">
        <v>45526</v>
      </c>
      <c r="B434" s="6" t="n">
        <v>95.9491909974662</v>
      </c>
      <c r="C434" s="6" t="n">
        <v>102.314982187758</v>
      </c>
      <c r="D434" s="6" t="n">
        <v>103.078805178917</v>
      </c>
      <c r="E434" s="6" t="n">
        <v>98.104225470784</v>
      </c>
    </row>
    <row r="435">
      <c r="A435" s="12" t="n">
        <v>45527</v>
      </c>
      <c r="B435" s="6" t="n">
        <v>95.9036483778547</v>
      </c>
      <c r="C435" s="6" t="n">
        <v>102.592016378326</v>
      </c>
      <c r="D435" s="6" t="n">
        <v>103.099194617188</v>
      </c>
      <c r="E435" s="6" t="n">
        <v>98.0949572397523</v>
      </c>
    </row>
    <row r="436">
      <c r="A436" s="12" t="n">
        <v>45530</v>
      </c>
      <c r="B436" s="6" t="n">
        <v>95.4026795621284</v>
      </c>
      <c r="C436" s="6" t="n">
        <v>103.351626255692</v>
      </c>
      <c r="D436" s="6" t="n">
        <v>103.486593944337</v>
      </c>
      <c r="E436" s="6" t="n">
        <v>97.8354467708641</v>
      </c>
    </row>
    <row r="437">
      <c r="A437" s="12" t="n">
        <v>45531</v>
      </c>
      <c r="B437" s="6" t="n">
        <v>95.5848500405743</v>
      </c>
      <c r="C437" s="6" t="n">
        <v>102.037947997189</v>
      </c>
      <c r="D437" s="6" t="n">
        <v>103.802630237537</v>
      </c>
      <c r="E437" s="6" t="n">
        <v>97.8910561570544</v>
      </c>
    </row>
    <row r="438">
      <c r="A438" s="12" t="n">
        <v>45532</v>
      </c>
      <c r="B438" s="6" t="n">
        <v>95.8581057582432</v>
      </c>
      <c r="C438" s="6" t="n">
        <v>100.786825846234</v>
      </c>
      <c r="D438" s="6" t="n">
        <v>103.914772148027</v>
      </c>
      <c r="E438" s="6" t="n">
        <v>98.0022749294351</v>
      </c>
    </row>
    <row r="439">
      <c r="A439" s="12" t="n">
        <v>45533</v>
      </c>
      <c r="B439" s="6" t="n">
        <v>95.7943460907872</v>
      </c>
      <c r="C439" s="6" t="n">
        <v>100.572347763213</v>
      </c>
      <c r="D439" s="6" t="n">
        <v>103.986135181976</v>
      </c>
      <c r="E439" s="6" t="n">
        <v>98.4842229430846</v>
      </c>
    </row>
    <row r="440">
      <c r="A440" s="12" t="n">
        <v>45534</v>
      </c>
      <c r="B440" s="6" t="n">
        <v>95.7943460907872</v>
      </c>
      <c r="C440" s="6" t="n">
        <v>101.063860036802</v>
      </c>
      <c r="D440" s="6" t="n">
        <v>103.884187990621</v>
      </c>
      <c r="E440" s="6" t="n">
        <v>98.6788557947508</v>
      </c>
    </row>
    <row r="441">
      <c r="A441" s="12" t="n">
        <v>45537</v>
      </c>
      <c r="B441" s="6" t="n">
        <v>96.1222529519898</v>
      </c>
      <c r="C441" s="6" t="n">
        <v>100.98343075567</v>
      </c>
      <c r="D441" s="6" t="n">
        <v>103.853603833214</v>
      </c>
      <c r="E441" s="6" t="n">
        <v>98.6510511016556</v>
      </c>
    </row>
    <row r="442">
      <c r="A442" s="12" t="n">
        <v>45538</v>
      </c>
      <c r="B442" s="6" t="n">
        <v>96.3499660500472</v>
      </c>
      <c r="C442" s="6" t="n">
        <v>100.277440399059</v>
      </c>
      <c r="D442" s="6" t="n">
        <v>103.568151697421</v>
      </c>
      <c r="E442" s="6" t="n">
        <v>98.5769052534019</v>
      </c>
    </row>
    <row r="443">
      <c r="A443" s="12" t="n">
        <v>45539</v>
      </c>
      <c r="B443" s="6" t="n">
        <v>96.2862063825911</v>
      </c>
      <c r="C443" s="6" t="n">
        <v>99.973596448113</v>
      </c>
      <c r="D443" s="6" t="n">
        <v>103.476399225201</v>
      </c>
      <c r="E443" s="6" t="n">
        <v>98.539832329275</v>
      </c>
    </row>
    <row r="444">
      <c r="A444" s="12" t="n">
        <v>45540</v>
      </c>
      <c r="B444" s="6" t="n">
        <v>96.0767103323783</v>
      </c>
      <c r="C444" s="6" t="n">
        <v>98.7850304047055</v>
      </c>
      <c r="D444" s="6" t="n">
        <v>103.690488327047</v>
      </c>
      <c r="E444" s="6" t="n">
        <v>98.5027594051481</v>
      </c>
    </row>
    <row r="445">
      <c r="A445" s="12" t="n">
        <v>45541</v>
      </c>
      <c r="B445" s="6" t="n">
        <v>95.8763228060878</v>
      </c>
      <c r="C445" s="6" t="n">
        <v>99.3301621990503</v>
      </c>
      <c r="D445" s="6" t="n">
        <v>103.741461922724</v>
      </c>
      <c r="E445" s="6" t="n">
        <v>98.5491005603067</v>
      </c>
    </row>
    <row r="446">
      <c r="A446" s="12" t="n">
        <v>45544</v>
      </c>
      <c r="B446" s="6" t="n">
        <v>96.2862063825911</v>
      </c>
      <c r="C446" s="6" t="n">
        <v>99.7769915386771</v>
      </c>
      <c r="D446" s="6" t="n">
        <v>103.415230910388</v>
      </c>
      <c r="E446" s="6" t="n">
        <v>98.5120276361798</v>
      </c>
    </row>
    <row r="447">
      <c r="A447" s="12" t="n">
        <v>45545</v>
      </c>
      <c r="B447" s="6" t="n">
        <v>96.2770978586688</v>
      </c>
      <c r="C447" s="6" t="n">
        <v>99.8216744726398</v>
      </c>
      <c r="D447" s="6" t="n">
        <v>103.333673157305</v>
      </c>
      <c r="E447" s="6" t="n">
        <v>98.4471500189578</v>
      </c>
    </row>
    <row r="448">
      <c r="A448" s="12" t="n">
        <v>45546</v>
      </c>
      <c r="B448" s="6" t="n">
        <v>96.1860126194459</v>
      </c>
      <c r="C448" s="6" t="n">
        <v>99.6876256707518</v>
      </c>
      <c r="D448" s="6" t="n">
        <v>103.23172596595</v>
      </c>
      <c r="E448" s="6" t="n">
        <v>98.4008088637991</v>
      </c>
    </row>
    <row r="449">
      <c r="A449" s="12" t="n">
        <v>45547</v>
      </c>
      <c r="B449" s="6" t="n">
        <v>96.2133381912128</v>
      </c>
      <c r="C449" s="6" t="n">
        <v>100.670650217931</v>
      </c>
      <c r="D449" s="6" t="n">
        <v>103.241920685085</v>
      </c>
      <c r="E449" s="6" t="n">
        <v>98.4193453258626</v>
      </c>
    </row>
    <row r="450">
      <c r="A450" s="12" t="n">
        <v>45548</v>
      </c>
      <c r="B450" s="6" t="n">
        <v>95.6303926601858</v>
      </c>
      <c r="C450" s="6" t="n">
        <v>101.868152848131</v>
      </c>
      <c r="D450" s="6" t="n">
        <v>102.895300234479</v>
      </c>
      <c r="E450" s="6" t="n">
        <v>98.2247124741964</v>
      </c>
    </row>
    <row r="451">
      <c r="A451" s="12" t="n">
        <v>45551</v>
      </c>
      <c r="B451" s="6" t="n">
        <v>95.2387261315271</v>
      </c>
      <c r="C451" s="6" t="n">
        <v>102.904796916065</v>
      </c>
      <c r="D451" s="6" t="n">
        <v>102.803547762259</v>
      </c>
      <c r="E451" s="6" t="n">
        <v>97.8354467708641</v>
      </c>
    </row>
    <row r="452">
      <c r="A452" s="12" t="n">
        <v>45552</v>
      </c>
      <c r="B452" s="6" t="n">
        <v>95.2842687511386</v>
      </c>
      <c r="C452" s="6" t="n">
        <v>102.404348055683</v>
      </c>
      <c r="D452" s="6" t="n">
        <v>102.762768885717</v>
      </c>
      <c r="E452" s="6" t="n">
        <v>97.8354467708641</v>
      </c>
    </row>
    <row r="453">
      <c r="A453" s="12" t="n">
        <v>45553</v>
      </c>
      <c r="B453" s="6" t="n">
        <v>95.1931835119156</v>
      </c>
      <c r="C453" s="6" t="n">
        <v>103.691216553808</v>
      </c>
      <c r="D453" s="6" t="n">
        <v>102.71179529004</v>
      </c>
      <c r="E453" s="6" t="n">
        <v>98.1691030880061</v>
      </c>
    </row>
    <row r="454">
      <c r="A454" s="12" t="n">
        <v>45554</v>
      </c>
      <c r="B454" s="6" t="n">
        <v>95.0838812248481</v>
      </c>
      <c r="C454" s="6" t="n">
        <v>103.155021346256</v>
      </c>
      <c r="D454" s="6" t="n">
        <v>103.007442144969</v>
      </c>
      <c r="E454" s="6" t="n">
        <v>98.3451994776088</v>
      </c>
    </row>
    <row r="455">
      <c r="A455" s="12" t="n">
        <v>45555</v>
      </c>
      <c r="B455" s="6" t="n">
        <v>95.266051703294</v>
      </c>
      <c r="C455" s="6" t="n">
        <v>102.234552906625</v>
      </c>
      <c r="D455" s="6" t="n">
        <v>102.905494953614</v>
      </c>
      <c r="E455" s="6" t="n">
        <v>98.6881240257825</v>
      </c>
    </row>
    <row r="456">
      <c r="A456" s="12" t="n">
        <v>45558</v>
      </c>
      <c r="B456" s="6" t="n">
        <v>95.3844625142838</v>
      </c>
      <c r="C456" s="6" t="n">
        <v>101.948582129264</v>
      </c>
      <c r="D456" s="6" t="n">
        <v>103.099194617188</v>
      </c>
      <c r="E456" s="6" t="n">
        <v>98.7900745671315</v>
      </c>
    </row>
    <row r="457">
      <c r="A457" s="12" t="n">
        <v>45559</v>
      </c>
      <c r="B457" s="6" t="n">
        <v>95.1658579401487</v>
      </c>
      <c r="C457" s="6" t="n">
        <v>102.037947997189</v>
      </c>
      <c r="D457" s="6" t="n">
        <v>103.354062595575</v>
      </c>
      <c r="E457" s="6" t="n">
        <v>98.9569027257025</v>
      </c>
    </row>
    <row r="458">
      <c r="A458" s="12" t="n">
        <v>45560</v>
      </c>
      <c r="B458" s="6" t="n">
        <v>94.9927959856251</v>
      </c>
      <c r="C458" s="6" t="n">
        <v>101.68942111228</v>
      </c>
      <c r="D458" s="6" t="n">
        <v>103.77204608013</v>
      </c>
      <c r="E458" s="6" t="n">
        <v>98.8086110291949</v>
      </c>
    </row>
    <row r="459">
      <c r="A459" s="12" t="n">
        <v>45561</v>
      </c>
      <c r="B459" s="6" t="n">
        <v>95.0656641770035</v>
      </c>
      <c r="C459" s="6" t="n">
        <v>100.894064887744</v>
      </c>
      <c r="D459" s="6" t="n">
        <v>103.557956978285</v>
      </c>
      <c r="E459" s="6" t="n">
        <v>99.0495850360197</v>
      </c>
    </row>
    <row r="460">
      <c r="A460" s="12" t="n">
        <v>45562</v>
      </c>
      <c r="B460" s="6" t="n">
        <v>94.9472533660136</v>
      </c>
      <c r="C460" s="6" t="n">
        <v>100.813635606611</v>
      </c>
      <c r="D460" s="6" t="n">
        <v>103.445815067795</v>
      </c>
      <c r="E460" s="6" t="n">
        <v>98.8086110291949</v>
      </c>
    </row>
    <row r="461">
      <c r="A461" s="12" t="n">
        <v>45565</v>
      </c>
      <c r="B461" s="6" t="n">
        <v>94.9381448420913</v>
      </c>
      <c r="C461" s="6" t="n">
        <v>100.447235548117</v>
      </c>
      <c r="D461" s="6" t="n">
        <v>103.109389336324</v>
      </c>
      <c r="E461" s="6" t="n">
        <v>98.706660487846</v>
      </c>
    </row>
    <row r="462">
      <c r="A462" s="12" t="n">
        <v>45566</v>
      </c>
      <c r="B462" s="6" t="n">
        <v>95.3662454664392</v>
      </c>
      <c r="C462" s="6" t="n">
        <v>100.322123333022</v>
      </c>
      <c r="D462" s="6" t="n">
        <v>103.323478438169</v>
      </c>
      <c r="E462" s="6" t="n">
        <v>99.1700720394321</v>
      </c>
    </row>
    <row r="463">
      <c r="A463" s="12" t="n">
        <v>45567</v>
      </c>
      <c r="B463" s="6" t="n">
        <v>95.3389198946723</v>
      </c>
      <c r="C463" s="6" t="n">
        <v>101.331957640579</v>
      </c>
      <c r="D463" s="6" t="n">
        <v>103.557956978285</v>
      </c>
      <c r="E463" s="6" t="n">
        <v>99.309095504908</v>
      </c>
    </row>
    <row r="464">
      <c r="A464" s="12" t="n">
        <v>45568</v>
      </c>
      <c r="B464" s="6" t="n">
        <v>95.6850438037196</v>
      </c>
      <c r="C464" s="6" t="n">
        <v>101.555372310392</v>
      </c>
      <c r="D464" s="6" t="n">
        <v>103.323478438169</v>
      </c>
      <c r="E464" s="6" t="n">
        <v>99.8188482116527</v>
      </c>
    </row>
    <row r="465">
      <c r="A465" s="12" t="n">
        <v>45569</v>
      </c>
      <c r="B465" s="6" t="n">
        <v>95.6121756123412</v>
      </c>
      <c r="C465" s="6" t="n">
        <v>102.806494461347</v>
      </c>
      <c r="D465" s="6" t="n">
        <v>103.150168212866</v>
      </c>
      <c r="E465" s="6" t="n">
        <v>99.9578716771285</v>
      </c>
    </row>
    <row r="466">
      <c r="A466" s="12" t="n">
        <v>45572</v>
      </c>
      <c r="B466" s="6" t="n">
        <v>95.8763228060878</v>
      </c>
      <c r="C466" s="6" t="n">
        <v>102.708192006629</v>
      </c>
      <c r="D466" s="6" t="n">
        <v>103.099194617188</v>
      </c>
      <c r="E466" s="6" t="n">
        <v>100.291527994271</v>
      </c>
    </row>
    <row r="467">
      <c r="A467" s="12" t="n">
        <v>45573</v>
      </c>
      <c r="B467" s="6" t="n">
        <v>96.003842141</v>
      </c>
      <c r="C467" s="6" t="n">
        <v>103.244387214182</v>
      </c>
      <c r="D467" s="6" t="n">
        <v>102.691405851769</v>
      </c>
      <c r="E467" s="6" t="n">
        <v>99.8559211357796</v>
      </c>
    </row>
    <row r="468">
      <c r="A468" s="12" t="n">
        <v>45574</v>
      </c>
      <c r="B468" s="6" t="n">
        <v>96.2406637629797</v>
      </c>
      <c r="C468" s="6" t="n">
        <v>102.85117739531</v>
      </c>
      <c r="D468" s="6" t="n">
        <v>102.528290345601</v>
      </c>
      <c r="E468" s="6" t="n">
        <v>99.809579980621</v>
      </c>
    </row>
    <row r="469">
      <c r="A469" s="12" t="n">
        <v>45575</v>
      </c>
      <c r="B469" s="6" t="n">
        <v>96.5412450524154</v>
      </c>
      <c r="C469" s="6" t="n">
        <v>102.314982187758</v>
      </c>
      <c r="D469" s="6" t="n">
        <v>102.10011214191</v>
      </c>
      <c r="E469" s="6" t="n">
        <v>99.874457597843</v>
      </c>
    </row>
    <row r="470">
      <c r="A470" s="12" t="n">
        <v>45576</v>
      </c>
      <c r="B470" s="6" t="n">
        <v>96.4228342414256</v>
      </c>
      <c r="C470" s="6" t="n">
        <v>102.520523683986</v>
      </c>
      <c r="D470" s="6" t="n">
        <v>101.87582832093</v>
      </c>
      <c r="E470" s="6" t="n">
        <v>99.9486034460968</v>
      </c>
    </row>
    <row r="471">
      <c r="A471" s="12" t="n">
        <v>45579</v>
      </c>
      <c r="B471" s="6" t="n">
        <v>96.5321365284931</v>
      </c>
      <c r="C471" s="6" t="n">
        <v>103.41418236324</v>
      </c>
      <c r="D471" s="6" t="n">
        <v>101.835049444388</v>
      </c>
      <c r="E471" s="6" t="n">
        <v>99.8559211357796</v>
      </c>
    </row>
    <row r="472">
      <c r="A472" s="12" t="n">
        <v>45580</v>
      </c>
      <c r="B472" s="6" t="n">
        <v>96.7598496265505</v>
      </c>
      <c r="C472" s="6" t="n">
        <v>102.520523683986</v>
      </c>
      <c r="D472" s="6" t="n">
        <v>101.712712814762</v>
      </c>
      <c r="E472" s="6" t="n">
        <v>99.4573872014155</v>
      </c>
    </row>
    <row r="473">
      <c r="A473" s="12" t="n">
        <v>45581</v>
      </c>
      <c r="B473" s="6" t="n">
        <v>96.9329115810742</v>
      </c>
      <c r="C473" s="6" t="n">
        <v>101.188972251898</v>
      </c>
      <c r="D473" s="6" t="n">
        <v>102.07972270364</v>
      </c>
      <c r="E473" s="6" t="n">
        <v>99.540801280701</v>
      </c>
    </row>
    <row r="474">
      <c r="A474" s="12" t="n">
        <v>45582</v>
      </c>
      <c r="B474" s="6" t="n">
        <v>97.2790354901214</v>
      </c>
      <c r="C474" s="6" t="n">
        <v>99.9110403405652</v>
      </c>
      <c r="D474" s="6" t="n">
        <v>102.202059333265</v>
      </c>
      <c r="E474" s="6" t="n">
        <v>99.6520200530817</v>
      </c>
    </row>
    <row r="475">
      <c r="A475" s="12" t="n">
        <v>45583</v>
      </c>
      <c r="B475" s="6" t="n">
        <v>97.1059735355978</v>
      </c>
      <c r="C475" s="6" t="n">
        <v>101.144289317935</v>
      </c>
      <c r="D475" s="6" t="n">
        <v>102.049138546233</v>
      </c>
      <c r="E475" s="6" t="n">
        <v>99.9207987530016</v>
      </c>
    </row>
    <row r="476">
      <c r="A476" s="12" t="n">
        <v>45586</v>
      </c>
      <c r="B476" s="6" t="n">
        <v>97.3336866336552</v>
      </c>
      <c r="C476" s="6" t="n">
        <v>100.098708663208</v>
      </c>
      <c r="D476" s="6" t="n">
        <v>101.926801916607</v>
      </c>
      <c r="E476" s="6" t="n">
        <v>99.8837258288747</v>
      </c>
    </row>
    <row r="477">
      <c r="A477" s="12" t="n">
        <v>45587</v>
      </c>
      <c r="B477" s="6" t="n">
        <v>97.4429889207227</v>
      </c>
      <c r="C477" s="6" t="n">
        <v>100.509791655665</v>
      </c>
      <c r="D477" s="6" t="n">
        <v>101.916607197472</v>
      </c>
      <c r="E477" s="6" t="n">
        <v>99.9393352150651</v>
      </c>
    </row>
    <row r="478">
      <c r="A478" s="12" t="n">
        <v>45588</v>
      </c>
      <c r="B478" s="6" t="n">
        <v>97.8801980689929</v>
      </c>
      <c r="C478" s="6" t="n">
        <v>99.7591183650921</v>
      </c>
      <c r="D478" s="6" t="n">
        <v>102.049138546233</v>
      </c>
      <c r="E478" s="6" t="n">
        <v>100.272991532207</v>
      </c>
    </row>
    <row r="479">
      <c r="A479" s="12" t="n">
        <v>45589</v>
      </c>
      <c r="B479" s="6" t="n">
        <v>97.4612059685673</v>
      </c>
      <c r="C479" s="6" t="n">
        <v>101.099606383973</v>
      </c>
      <c r="D479" s="6" t="n">
        <v>102.038943827098</v>
      </c>
      <c r="E479" s="6" t="n">
        <v>100.208113914985</v>
      </c>
    </row>
    <row r="480">
      <c r="A480" s="12" t="n">
        <v>45590</v>
      </c>
      <c r="B480" s="6" t="n">
        <v>97.5340741599457</v>
      </c>
      <c r="C480" s="6" t="n">
        <v>101.001303929255</v>
      </c>
      <c r="D480" s="6" t="n">
        <v>101.824854725252</v>
      </c>
      <c r="E480" s="6" t="n">
        <v>100.115431604668</v>
      </c>
    </row>
    <row r="481">
      <c r="A481" s="12" t="n">
        <v>45593</v>
      </c>
      <c r="B481" s="6" t="n">
        <v>97.7435702101585</v>
      </c>
      <c r="C481" s="6" t="n">
        <v>100.134455010379</v>
      </c>
      <c r="D481" s="6" t="n">
        <v>101.55979202773</v>
      </c>
      <c r="E481" s="6" t="n">
        <v>100.189577452922</v>
      </c>
    </row>
    <row r="482">
      <c r="A482" s="12" t="n">
        <v>45594</v>
      </c>
      <c r="B482" s="6" t="n">
        <v>97.9895003560605</v>
      </c>
      <c r="C482" s="6" t="n">
        <v>100.089772076416</v>
      </c>
      <c r="D482" s="6" t="n">
        <v>101.590376185136</v>
      </c>
      <c r="E482" s="6" t="n">
        <v>100.319332687366</v>
      </c>
    </row>
    <row r="483">
      <c r="A483" s="12" t="n">
        <v>45595</v>
      </c>
      <c r="B483" s="6" t="n">
        <v>97.9712833082159</v>
      </c>
      <c r="C483" s="6" t="n">
        <v>99.2676060915025</v>
      </c>
      <c r="D483" s="6" t="n">
        <v>101.325313487613</v>
      </c>
      <c r="E483" s="6" t="n">
        <v>100.347137380461</v>
      </c>
    </row>
    <row r="484">
      <c r="A484" s="12" t="n">
        <v>45596</v>
      </c>
      <c r="B484" s="6" t="n">
        <v>97.6615934948578</v>
      </c>
      <c r="C484" s="6" t="n">
        <v>99.8038012990548</v>
      </c>
      <c r="D484" s="6" t="n">
        <v>101.396676521562</v>
      </c>
      <c r="E484" s="6" t="n">
        <v>100.226650377049</v>
      </c>
    </row>
    <row r="485">
      <c r="A485" s="12" t="n">
        <v>45597</v>
      </c>
      <c r="B485" s="6" t="n">
        <v>97.5613997317126</v>
      </c>
      <c r="C485" s="6" t="n">
        <v>100.188074531134</v>
      </c>
      <c r="D485" s="6" t="n">
        <v>101.304924049342</v>
      </c>
      <c r="E485" s="6" t="n">
        <v>100.198845683953</v>
      </c>
    </row>
    <row r="486">
      <c r="A486" s="12" t="n">
        <v>45600</v>
      </c>
      <c r="B486" s="6" t="n">
        <v>97.5340741599457</v>
      </c>
      <c r="C486" s="6" t="n">
        <v>99.4016548933906</v>
      </c>
      <c r="D486" s="6" t="n">
        <v>101.386481802426</v>
      </c>
      <c r="E486" s="6" t="n">
        <v>100.356405611493</v>
      </c>
    </row>
    <row r="487">
      <c r="A487" s="12" t="n">
        <v>45601</v>
      </c>
      <c r="B487" s="6" t="n">
        <v>97.6160508752464</v>
      </c>
      <c r="C487" s="6" t="n">
        <v>99.1961133971622</v>
      </c>
      <c r="D487" s="6" t="n">
        <v>101.549597308594</v>
      </c>
      <c r="E487" s="6" t="n">
        <v>100.310064456334</v>
      </c>
    </row>
    <row r="488">
      <c r="A488" s="12" t="n">
        <v>45602</v>
      </c>
      <c r="B488" s="6" t="n">
        <v>98.9185697961347</v>
      </c>
      <c r="C488" s="6" t="n">
        <v>97.3909228650697</v>
      </c>
      <c r="D488" s="6" t="n">
        <v>101.855438882659</v>
      </c>
      <c r="E488" s="6" t="n">
        <v>100.356405611493</v>
      </c>
    </row>
    <row r="489">
      <c r="A489" s="12" t="n">
        <v>45603</v>
      </c>
      <c r="B489" s="6" t="n">
        <v>97.8801980689929</v>
      </c>
      <c r="C489" s="6" t="n">
        <v>101.081733210388</v>
      </c>
      <c r="D489" s="6" t="n">
        <v>101.814660006117</v>
      </c>
      <c r="E489" s="6" t="n">
        <v>100.050553987446</v>
      </c>
    </row>
    <row r="490">
      <c r="A490" s="12" t="n">
        <v>45604</v>
      </c>
      <c r="B490" s="6" t="n">
        <v>98.0441514995943</v>
      </c>
      <c r="C490" s="6" t="n">
        <v>100.304250159437</v>
      </c>
      <c r="D490" s="6" t="n">
        <v>101.600570904272</v>
      </c>
      <c r="E490" s="6" t="n">
        <v>99.7817752875258</v>
      </c>
    </row>
    <row r="491">
      <c r="A491" s="12" t="n">
        <v>45607</v>
      </c>
      <c r="B491" s="6" t="n">
        <v>98.9458953679016</v>
      </c>
      <c r="C491" s="6" t="n">
        <v>98.0343571141324</v>
      </c>
      <c r="D491" s="6" t="n">
        <v>101.773881129575</v>
      </c>
      <c r="E491" s="6" t="n">
        <v>99.976408139192</v>
      </c>
    </row>
    <row r="492">
      <c r="A492" s="12" t="n">
        <v>45608</v>
      </c>
      <c r="B492" s="6" t="n">
        <v>99.1280658463475</v>
      </c>
      <c r="C492" s="6" t="n">
        <v>98.8386499254607</v>
      </c>
      <c r="D492" s="6" t="n">
        <v>101.896217759201</v>
      </c>
      <c r="E492" s="6" t="n">
        <v>99.8559211357796</v>
      </c>
    </row>
    <row r="493">
      <c r="A493" s="12" t="n">
        <v>45609</v>
      </c>
      <c r="B493" s="6" t="n">
        <v>99.1644999420367</v>
      </c>
      <c r="C493" s="6" t="n">
        <v>98.2220254367757</v>
      </c>
      <c r="D493" s="6" t="n">
        <v>101.722907533897</v>
      </c>
      <c r="E493" s="6" t="n">
        <v>100.198845683953</v>
      </c>
    </row>
    <row r="494">
      <c r="A494" s="12" t="n">
        <v>45610</v>
      </c>
      <c r="B494" s="6" t="n">
        <v>99.729228425219</v>
      </c>
      <c r="C494" s="6" t="n">
        <v>97.9360546594145</v>
      </c>
      <c r="D494" s="6" t="n">
        <v>101.610765623407</v>
      </c>
      <c r="E494" s="6" t="n">
        <v>100.254455070144</v>
      </c>
    </row>
    <row r="495">
      <c r="A495" s="12" t="n">
        <v>45611</v>
      </c>
      <c r="B495" s="6" t="n">
        <v>99.3648874683272</v>
      </c>
      <c r="C495" s="6" t="n">
        <v>98.9637621405563</v>
      </c>
      <c r="D495" s="6" t="n">
        <v>101.223366296259</v>
      </c>
      <c r="E495" s="6" t="n">
        <v>100.133968066731</v>
      </c>
    </row>
    <row r="496">
      <c r="A496" s="12" t="n">
        <v>45614</v>
      </c>
      <c r="B496" s="6" t="n">
        <v>99.5470579467731</v>
      </c>
      <c r="C496" s="6" t="n">
        <v>99.0710011820667</v>
      </c>
      <c r="D496" s="6" t="n">
        <v>100.917524722194</v>
      </c>
      <c r="E496" s="6" t="n">
        <v>100.022749294351</v>
      </c>
    </row>
    <row r="497">
      <c r="A497" s="12" t="n">
        <v>45615</v>
      </c>
      <c r="B497" s="6" t="n">
        <v>99.2646937051819</v>
      </c>
      <c r="C497" s="6" t="n">
        <v>99.2229231575398</v>
      </c>
      <c r="D497" s="6" t="n">
        <v>101.335508206749</v>
      </c>
      <c r="E497" s="6" t="n">
        <v>99.809579980621</v>
      </c>
    </row>
    <row r="498">
      <c r="A498" s="12" t="n">
        <v>45616</v>
      </c>
      <c r="B498" s="6" t="n">
        <v>99.2829107530265</v>
      </c>
      <c r="C498" s="6" t="n">
        <v>100.045089142453</v>
      </c>
      <c r="D498" s="6" t="n">
        <v>101.661739219084</v>
      </c>
      <c r="E498" s="6" t="n">
        <v>99.9300669840334</v>
      </c>
    </row>
    <row r="499">
      <c r="A499" s="12" t="n">
        <v>45617</v>
      </c>
      <c r="B499" s="6" t="n">
        <v>99.4286471357833</v>
      </c>
      <c r="C499" s="6" t="n">
        <v>99.0620645952742</v>
      </c>
      <c r="D499" s="6" t="n">
        <v>101.845244163523</v>
      </c>
      <c r="E499" s="6" t="n">
        <v>100.069090449509</v>
      </c>
    </row>
    <row r="500">
      <c r="A500" s="12" t="n">
        <v>45618</v>
      </c>
      <c r="B500" s="6" t="n">
        <v>99.7929880926751</v>
      </c>
      <c r="C500" s="6" t="n">
        <v>98.9369523801786</v>
      </c>
      <c r="D500" s="6" t="n">
        <v>101.886023040065</v>
      </c>
      <c r="E500" s="6" t="n">
        <v>100.328600918397</v>
      </c>
    </row>
    <row r="501">
      <c r="A501" s="12" t="n">
        <v>45621</v>
      </c>
      <c r="B501" s="6" t="n">
        <v>99.4377556597055</v>
      </c>
      <c r="C501" s="6" t="n">
        <v>99.3212256122577</v>
      </c>
      <c r="D501" s="6" t="n">
        <v>101.926801916607</v>
      </c>
      <c r="E501" s="6" t="n">
        <v>100.050553987446</v>
      </c>
    </row>
    <row r="502">
      <c r="A502" s="12" t="n">
        <v>45622</v>
      </c>
      <c r="B502" s="6" t="n">
        <v>99.57438351854</v>
      </c>
      <c r="C502" s="6" t="n">
        <v>98.5079962141369</v>
      </c>
      <c r="D502" s="6" t="n">
        <v>100.917524722194</v>
      </c>
      <c r="E502" s="6" t="n">
        <v>99.9115305219699</v>
      </c>
    </row>
    <row r="503">
      <c r="A503" s="12" t="n">
        <v>45623</v>
      </c>
      <c r="B503" s="6" t="n">
        <v>99.6290346620738</v>
      </c>
      <c r="C503" s="6" t="n">
        <v>97.2479374763891</v>
      </c>
      <c r="D503" s="6" t="n">
        <v>101.202976857988</v>
      </c>
      <c r="E503" s="6" t="n">
        <v>99.7725070564941</v>
      </c>
    </row>
    <row r="504">
      <c r="A504" s="12" t="n">
        <v>45624</v>
      </c>
      <c r="B504" s="6" t="n">
        <v>99.3375618965603</v>
      </c>
      <c r="C504" s="6" t="n">
        <v>99.1961133971622</v>
      </c>
      <c r="D504" s="6" t="n">
        <v>101.457844836375</v>
      </c>
      <c r="E504" s="6" t="n">
        <v>99.8188482116527</v>
      </c>
    </row>
    <row r="505">
      <c r="A505" s="12" t="n">
        <v>45625</v>
      </c>
      <c r="B505" s="6" t="n">
        <v>99.2555851812596</v>
      </c>
      <c r="C505" s="6" t="n">
        <v>98.9012060330085</v>
      </c>
      <c r="D505" s="6" t="n">
        <v>101.427260678968</v>
      </c>
      <c r="E505" s="6" t="n">
        <v>99.7632388254624</v>
      </c>
    </row>
    <row r="506">
      <c r="A506" s="12" t="n">
        <v>45628</v>
      </c>
      <c r="B506" s="6" t="n">
        <v>99.6108176142292</v>
      </c>
      <c r="C506" s="6" t="n">
        <v>98.5526791480996</v>
      </c>
      <c r="D506" s="6" t="n">
        <v>101.396676521562</v>
      </c>
      <c r="E506" s="6" t="n">
        <v>99.5778742048279</v>
      </c>
    </row>
    <row r="507">
      <c r="A507" s="12" t="n">
        <v>45629</v>
      </c>
      <c r="B507" s="6" t="n">
        <v>99.5197323750062</v>
      </c>
      <c r="C507" s="6" t="n">
        <v>99.2765426782951</v>
      </c>
      <c r="D507" s="6" t="n">
        <v>101.376287083291</v>
      </c>
      <c r="E507" s="6" t="n">
        <v>99.2998272738762</v>
      </c>
    </row>
    <row r="508">
      <c r="A508" s="12" t="n">
        <v>45630</v>
      </c>
      <c r="B508" s="6" t="n">
        <v>99.57438351854</v>
      </c>
      <c r="C508" s="6" t="n">
        <v>99.508893934901</v>
      </c>
      <c r="D508" s="6" t="n">
        <v>101.192782138852</v>
      </c>
      <c r="E508" s="6" t="n">
        <v>99.6890929772086</v>
      </c>
    </row>
    <row r="509">
      <c r="A509" s="12" t="n">
        <v>45631</v>
      </c>
      <c r="B509" s="6" t="n">
        <v>99.3193448487157</v>
      </c>
      <c r="C509" s="6" t="n">
        <v>99.4642110009383</v>
      </c>
      <c r="D509" s="6" t="n">
        <v>101.162197981446</v>
      </c>
      <c r="E509" s="6" t="n">
        <v>99.4666554324472</v>
      </c>
    </row>
    <row r="510">
      <c r="A510" s="12" t="n">
        <v>45632</v>
      </c>
      <c r="B510" s="6" t="n">
        <v>99.1553914181144</v>
      </c>
      <c r="C510" s="6" t="n">
        <v>99.9199769273577</v>
      </c>
      <c r="D510" s="6" t="n">
        <v>100.978693037007</v>
      </c>
      <c r="E510" s="6" t="n">
        <v>99.3647048910983</v>
      </c>
    </row>
    <row r="511">
      <c r="A511" s="12" t="n">
        <v>45635</v>
      </c>
      <c r="B511" s="6" t="n">
        <v>99.2464766573373</v>
      </c>
      <c r="C511" s="6" t="n">
        <v>100.116581836794</v>
      </c>
      <c r="D511" s="6" t="n">
        <v>100.6320725864</v>
      </c>
      <c r="E511" s="6" t="n">
        <v>99.4851918945107</v>
      </c>
    </row>
    <row r="512">
      <c r="A512" s="12" t="n">
        <v>45636</v>
      </c>
      <c r="B512" s="6" t="n">
        <v>99.3739959922495</v>
      </c>
      <c r="C512" s="6" t="n">
        <v>100.125518423586</v>
      </c>
      <c r="D512" s="6" t="n">
        <v>100.356815169742</v>
      </c>
      <c r="E512" s="6" t="n">
        <v>99.7725070564941</v>
      </c>
    </row>
    <row r="513">
      <c r="A513" s="12" t="n">
        <v>45637</v>
      </c>
      <c r="B513" s="6" t="n">
        <v>99.5561664706954</v>
      </c>
      <c r="C513" s="6" t="n">
        <v>100.009342795283</v>
      </c>
      <c r="D513" s="6" t="n">
        <v>100.265062697523</v>
      </c>
      <c r="E513" s="6" t="n">
        <v>99.8003117495893</v>
      </c>
    </row>
    <row r="514">
      <c r="A514" s="12" t="n">
        <v>45638</v>
      </c>
      <c r="B514" s="6" t="n">
        <v>99.5470579467731</v>
      </c>
      <c r="C514" s="6" t="n">
        <v>100.205947704719</v>
      </c>
      <c r="D514" s="6" t="n">
        <v>100.397594046284</v>
      </c>
      <c r="E514" s="6" t="n">
        <v>99.7261659013355</v>
      </c>
    </row>
    <row r="515">
      <c r="A515" s="12" t="n">
        <v>45639</v>
      </c>
      <c r="B515" s="6" t="n">
        <v>99.7110113773744</v>
      </c>
      <c r="C515" s="6" t="n">
        <v>100.134455010379</v>
      </c>
      <c r="D515" s="6" t="n">
        <v>100.11214191049</v>
      </c>
      <c r="E515" s="6" t="n">
        <v>99.8466529047479</v>
      </c>
    </row>
    <row r="516">
      <c r="A516" s="12" t="n">
        <v>45642</v>
      </c>
      <c r="B516" s="6" t="n">
        <v>99.8294221883643</v>
      </c>
      <c r="C516" s="6" t="n">
        <v>100.402552614155</v>
      </c>
      <c r="D516" s="6" t="n">
        <v>99.9286369660516</v>
      </c>
      <c r="E516" s="6" t="n">
        <v>99.8466529047479</v>
      </c>
    </row>
    <row r="517">
      <c r="A517" s="12" t="n">
        <v>45643</v>
      </c>
      <c r="B517" s="6" t="n">
        <v>99.8931818558204</v>
      </c>
      <c r="C517" s="6" t="n">
        <v>100.56341117642</v>
      </c>
      <c r="D517" s="6" t="n">
        <v>99.6941584259354</v>
      </c>
      <c r="E517" s="6" t="n">
        <v>99.8837258288747</v>
      </c>
    </row>
    <row r="518">
      <c r="A518" s="12" t="n">
        <v>45644</v>
      </c>
      <c r="B518" s="6" t="n">
        <v>99.9113989036649</v>
      </c>
      <c r="C518" s="6" t="n">
        <v>100.545538002835</v>
      </c>
      <c r="D518" s="6" t="n">
        <v>99.5004587623611</v>
      </c>
      <c r="E518" s="6" t="n">
        <v>99.8837258288747</v>
      </c>
    </row>
    <row r="519">
      <c r="A519" s="12" t="n">
        <v>45645</v>
      </c>
      <c r="B519" s="6" t="n">
        <v>100.621863769604</v>
      </c>
      <c r="C519" s="6" t="n">
        <v>99.9199769273577</v>
      </c>
      <c r="D519" s="6" t="n">
        <v>99.4596798858191</v>
      </c>
      <c r="E519" s="6" t="n">
        <v>100.44908792181</v>
      </c>
    </row>
    <row r="520">
      <c r="A520" s="12" t="n">
        <v>45646</v>
      </c>
      <c r="B520" s="6" t="n">
        <v>100.558104102148</v>
      </c>
      <c r="C520" s="6" t="n">
        <v>100.393616027362</v>
      </c>
      <c r="D520" s="6" t="n">
        <v>99.2761749413804</v>
      </c>
      <c r="E520" s="6" t="n">
        <v>100.412014997683</v>
      </c>
    </row>
    <row r="521">
      <c r="A521" s="12" t="n">
        <v>45649</v>
      </c>
      <c r="B521" s="6" t="n">
        <v>100.603646721759</v>
      </c>
      <c r="C521" s="6" t="n">
        <v>100.518728242458</v>
      </c>
      <c r="D521" s="6" t="n">
        <v>99.1130594352126</v>
      </c>
      <c r="E521" s="6" t="n">
        <v>100.467624383873</v>
      </c>
    </row>
    <row r="522">
      <c r="A522" s="12" t="n">
        <v>45650</v>
      </c>
      <c r="B522" s="6" t="n">
        <v>100.56721262607</v>
      </c>
      <c r="C522" s="6" t="n">
        <v>100.813635606611</v>
      </c>
      <c r="D522" s="6" t="n">
        <v>99.0416964012641</v>
      </c>
      <c r="E522" s="6" t="n">
        <v>100.495429076968</v>
      </c>
    </row>
    <row r="523">
      <c r="A523" s="12" t="n">
        <v>45651</v>
      </c>
      <c r="B523" s="6" t="n">
        <v>100.558104102148</v>
      </c>
      <c r="C523" s="6" t="n">
        <v>100.804699019819</v>
      </c>
      <c r="D523" s="6" t="n">
        <v>99.0416964012641</v>
      </c>
      <c r="E523" s="6" t="n">
        <v>100.467624383873</v>
      </c>
    </row>
    <row r="524">
      <c r="A524" s="12" t="n">
        <v>45652</v>
      </c>
      <c r="B524" s="6" t="n">
        <v>100.558104102148</v>
      </c>
      <c r="C524" s="6" t="n">
        <v>100.804699019819</v>
      </c>
      <c r="D524" s="6" t="n">
        <v>99.0416964012641</v>
      </c>
      <c r="E524" s="6" t="n">
        <v>100.467624383873</v>
      </c>
    </row>
    <row r="525">
      <c r="A525" s="12" t="n">
        <v>45653</v>
      </c>
      <c r="B525" s="6" t="n">
        <v>100.603646721759</v>
      </c>
      <c r="C525" s="6" t="n">
        <v>100.250630638682</v>
      </c>
      <c r="D525" s="6" t="n">
        <v>99.3577326944643</v>
      </c>
      <c r="E525" s="6" t="n">
        <v>100.486160845937</v>
      </c>
    </row>
    <row r="526">
      <c r="A526" s="12" t="n">
        <v>45656</v>
      </c>
      <c r="B526" s="6" t="n">
        <v>100.658297865293</v>
      </c>
      <c r="C526" s="6" t="n">
        <v>99.6786890839592</v>
      </c>
      <c r="D526" s="6" t="n">
        <v>99.2353960648384</v>
      </c>
      <c r="E526" s="6" t="n">
        <v>100.458356152842</v>
      </c>
    </row>
    <row r="527">
      <c r="A527" s="12" t="n">
        <v>45657</v>
      </c>
      <c r="B527" s="6" t="n">
        <v>101.022638822185</v>
      </c>
      <c r="C527" s="6" t="n">
        <v>97.9896741801697</v>
      </c>
      <c r="D527" s="6" t="n">
        <v>99.4392904475482</v>
      </c>
      <c r="E527" s="6" t="n">
        <v>100.652989004508</v>
      </c>
    </row>
    <row r="528">
      <c r="A528" s="12" t="n">
        <v>45658</v>
      </c>
      <c r="B528" s="6" t="n">
        <v>101.022638822185</v>
      </c>
      <c r="C528" s="6" t="n">
        <v>97.9896741801697</v>
      </c>
      <c r="D528" s="6" t="n">
        <v>99.4392904475482</v>
      </c>
      <c r="E528" s="6" t="n">
        <v>100.652989004508</v>
      </c>
    </row>
    <row r="529">
      <c r="A529" s="12" t="n">
        <v>45659</v>
      </c>
      <c r="B529" s="6" t="n">
        <v>101.232134872398</v>
      </c>
      <c r="C529" s="6" t="n">
        <v>97.9539278329996</v>
      </c>
      <c r="D529" s="6" t="n">
        <v>99.2965643796513</v>
      </c>
      <c r="E529" s="6" t="n">
        <v>100.819817163079</v>
      </c>
    </row>
    <row r="530">
      <c r="A530" s="12" t="n">
        <v>45660</v>
      </c>
      <c r="B530" s="6" t="n">
        <v>101.259460444165</v>
      </c>
      <c r="C530" s="6" t="n">
        <v>98.7582206443279</v>
      </c>
      <c r="D530" s="6" t="n">
        <v>99.4087062901417</v>
      </c>
      <c r="E530" s="6" t="n">
        <v>100.662257235539</v>
      </c>
    </row>
    <row r="531">
      <c r="A531" s="12" t="n">
        <v>45663</v>
      </c>
      <c r="B531" s="6" t="n">
        <v>100.56721262607</v>
      </c>
      <c r="C531" s="6" t="n">
        <v>99.9021037537727</v>
      </c>
      <c r="D531" s="6" t="n">
        <v>99.8674686512386</v>
      </c>
      <c r="E531" s="6" t="n">
        <v>100.096895142604</v>
      </c>
    </row>
    <row r="532">
      <c r="A532" s="12" t="n">
        <v>45664</v>
      </c>
      <c r="B532" s="6" t="n">
        <v>100.712949008827</v>
      </c>
      <c r="C532" s="6" t="n">
        <v>99.9289135141503</v>
      </c>
      <c r="D532" s="6" t="n">
        <v>99.8674686512386</v>
      </c>
      <c r="E532" s="6" t="n">
        <v>100.078358680541</v>
      </c>
    </row>
    <row r="533">
      <c r="A533" s="12" t="n">
        <v>45665</v>
      </c>
      <c r="B533" s="6" t="n">
        <v>101.268568968087</v>
      </c>
      <c r="C533" s="6" t="n">
        <v>99.7501817782995</v>
      </c>
      <c r="D533" s="6" t="n">
        <v>99.5718217963095</v>
      </c>
      <c r="E533" s="6" t="n">
        <v>100.588111387286</v>
      </c>
    </row>
    <row r="534">
      <c r="A534" s="12" t="n">
        <v>45666</v>
      </c>
      <c r="B534" s="6" t="n">
        <v>101.232134872398</v>
      </c>
      <c r="C534" s="6" t="n">
        <v>99.4552744141458</v>
      </c>
      <c r="D534" s="6" t="n">
        <v>99.5514323580385</v>
      </c>
      <c r="E534" s="6" t="n">
        <v>100.476892614905</v>
      </c>
    </row>
    <row r="535">
      <c r="A535" s="12" t="n">
        <v>45667</v>
      </c>
      <c r="B535" s="6" t="n">
        <v>101.305003063776</v>
      </c>
      <c r="C535" s="6" t="n">
        <v>99.3569719594279</v>
      </c>
      <c r="D535" s="6" t="n">
        <v>99.4698746049546</v>
      </c>
      <c r="E535" s="6" t="n">
        <v>100.625184311413</v>
      </c>
    </row>
    <row r="536">
      <c r="A536" s="12" t="n">
        <v>45670</v>
      </c>
      <c r="B536" s="6" t="n">
        <v>101.79686335558</v>
      </c>
      <c r="C536" s="6" t="n">
        <v>98.2309620235682</v>
      </c>
      <c r="D536" s="6" t="n">
        <v>99.6431848302579</v>
      </c>
      <c r="E536" s="6" t="n">
        <v>100.98664532165</v>
      </c>
    </row>
    <row r="537">
      <c r="A537" s="12" t="n">
        <v>45671</v>
      </c>
      <c r="B537" s="6" t="n">
        <v>101.550933209678</v>
      </c>
      <c r="C537" s="6" t="n">
        <v>98.8297133386682</v>
      </c>
      <c r="D537" s="6" t="n">
        <v>99.6941584259354</v>
      </c>
      <c r="E537" s="6" t="n">
        <v>100.819817163079</v>
      </c>
    </row>
    <row r="538">
      <c r="A538" s="12" t="n">
        <v>45672</v>
      </c>
      <c r="B538" s="6" t="n">
        <v>101.223026348476</v>
      </c>
      <c r="C538" s="6" t="n">
        <v>99.4552744141458</v>
      </c>
      <c r="D538" s="6" t="n">
        <v>99.8266897746967</v>
      </c>
      <c r="E538" s="6" t="n">
        <v>100.551038463159</v>
      </c>
    </row>
    <row r="539">
      <c r="A539" s="12" t="n">
        <v>45673</v>
      </c>
      <c r="B539" s="6" t="n">
        <v>101.368762731232</v>
      </c>
      <c r="C539" s="6" t="n">
        <v>98.7671572311204</v>
      </c>
      <c r="D539" s="6" t="n">
        <v>99.6635742685289</v>
      </c>
      <c r="E539" s="6" t="n">
        <v>100.560306694191</v>
      </c>
    </row>
    <row r="540">
      <c r="A540" s="12" t="n">
        <v>45674</v>
      </c>
      <c r="B540" s="6" t="n">
        <v>101.432522398688</v>
      </c>
      <c r="C540" s="6" t="n">
        <v>97.8913717254518</v>
      </c>
      <c r="D540" s="6" t="n">
        <v>99.3169538179223</v>
      </c>
      <c r="E540" s="6" t="n">
        <v>100.513965539032</v>
      </c>
    </row>
    <row r="541">
      <c r="A541" s="12" t="n">
        <v>45677</v>
      </c>
      <c r="B541" s="6" t="n">
        <v>101.414305350844</v>
      </c>
      <c r="C541" s="6" t="n">
        <v>97.5070984933727</v>
      </c>
      <c r="D541" s="6" t="n">
        <v>99.0620858395351</v>
      </c>
      <c r="E541" s="6" t="n">
        <v>100.699330159666</v>
      </c>
    </row>
    <row r="542">
      <c r="A542" s="12" t="n">
        <v>45678</v>
      </c>
      <c r="B542" s="6" t="n">
        <v>101.013530298263</v>
      </c>
      <c r="C542" s="6" t="n">
        <v>97.9092448990369</v>
      </c>
      <c r="D542" s="6" t="n">
        <v>99.0213069629932</v>
      </c>
      <c r="E542" s="6" t="n">
        <v>100.745671314825</v>
      </c>
    </row>
    <row r="543">
      <c r="A543" s="12" t="n">
        <v>45679</v>
      </c>
      <c r="B543" s="6" t="n">
        <v>100.439693291158</v>
      </c>
      <c r="C543" s="6" t="n">
        <v>98.5705523216846</v>
      </c>
      <c r="D543" s="6" t="n">
        <v>99.561627077174</v>
      </c>
      <c r="E543" s="6" t="n">
        <v>100.523233770064</v>
      </c>
    </row>
    <row r="544">
      <c r="A544" s="12" t="n">
        <v>45680</v>
      </c>
      <c r="B544" s="6" t="n">
        <v>100.621863769604</v>
      </c>
      <c r="C544" s="6" t="n">
        <v>99.1246207028219</v>
      </c>
      <c r="D544" s="6" t="n">
        <v>99.184422469161</v>
      </c>
      <c r="E544" s="6" t="n">
        <v>100.384210304588</v>
      </c>
    </row>
    <row r="545">
      <c r="A545" s="12" t="n">
        <v>45681</v>
      </c>
      <c r="B545" s="6" t="n">
        <v>100.066243810344</v>
      </c>
      <c r="C545" s="6" t="n">
        <v>99.9646598613204</v>
      </c>
      <c r="D545" s="6" t="n">
        <v>99.3883168518707</v>
      </c>
      <c r="E545" s="6" t="n">
        <v>100.625184311413</v>
      </c>
    </row>
    <row r="546">
      <c r="A546" s="12" t="n">
        <v>45684</v>
      </c>
      <c r="B546" s="6" t="n">
        <v>99.975158571121</v>
      </c>
      <c r="C546" s="6" t="n">
        <v>98.6152352556473</v>
      </c>
      <c r="D546" s="6" t="n">
        <v>99.3373432561933</v>
      </c>
      <c r="E546" s="6" t="n">
        <v>100.337869149429</v>
      </c>
    </row>
    <row r="547">
      <c r="A547" s="12" t="n">
        <v>45685</v>
      </c>
      <c r="B547" s="6" t="n">
        <v>100.521670006459</v>
      </c>
      <c r="C547" s="6" t="n">
        <v>98.0254205273399</v>
      </c>
      <c r="D547" s="6" t="n">
        <v>99.0416964012641</v>
      </c>
      <c r="E547" s="6" t="n">
        <v>100.866158318237</v>
      </c>
    </row>
    <row r="548">
      <c r="A548" s="12" t="n">
        <v>45686</v>
      </c>
      <c r="B548" s="6" t="n">
        <v>100.476127386847</v>
      </c>
      <c r="C548" s="6" t="n">
        <v>98.9458889669712</v>
      </c>
      <c r="D548" s="6" t="n">
        <v>98.8479967376899</v>
      </c>
      <c r="E548" s="6" t="n">
        <v>100.838353625142</v>
      </c>
    </row>
    <row r="549">
      <c r="A549" s="12" t="n">
        <v>45687</v>
      </c>
      <c r="B549" s="6" t="n">
        <v>100.403259195469</v>
      </c>
      <c r="C549" s="6" t="n">
        <v>98.6867279499876</v>
      </c>
      <c r="D549" s="6" t="n">
        <v>98.9703333673157</v>
      </c>
      <c r="E549" s="6" t="n">
        <v>100.690061928635</v>
      </c>
    </row>
    <row r="550">
      <c r="A550" s="12" t="n">
        <v>45688</v>
      </c>
      <c r="B550" s="6" t="n">
        <v>100.621863769604</v>
      </c>
      <c r="C550" s="6" t="n">
        <v>98.0879766348876</v>
      </c>
      <c r="D550" s="6" t="n">
        <v>98.705270669793</v>
      </c>
      <c r="E550" s="6" t="n">
        <v>100.884694780301</v>
      </c>
    </row>
    <row r="551">
      <c r="A551" s="12" t="n">
        <v>45691</v>
      </c>
      <c r="B551" s="6" t="n">
        <v>101.323220111621</v>
      </c>
      <c r="C551" s="6" t="n">
        <v>97.0692057405384</v>
      </c>
      <c r="D551" s="6" t="n">
        <v>97.7163829136507</v>
      </c>
      <c r="E551" s="6" t="n">
        <v>101.459325104268</v>
      </c>
    </row>
    <row r="552">
      <c r="A552" s="12" t="n">
        <v>45692</v>
      </c>
      <c r="B552" s="6" t="n">
        <v>100.612755245682</v>
      </c>
      <c r="C552" s="6" t="n">
        <v>99.2139865707473</v>
      </c>
      <c r="D552" s="6" t="n">
        <v>99.1130594352126</v>
      </c>
      <c r="E552" s="6" t="n">
        <v>101.107132325062</v>
      </c>
    </row>
    <row r="553">
      <c r="A553" s="12" t="n">
        <v>45693</v>
      </c>
      <c r="B553" s="6" t="n">
        <v>100.266631336634</v>
      </c>
      <c r="C553" s="6" t="n">
        <v>98.2398986103608</v>
      </c>
      <c r="D553" s="6" t="n">
        <v>99.9490264043226</v>
      </c>
      <c r="E553" s="6" t="n">
        <v>100.245186839112</v>
      </c>
    </row>
    <row r="554">
      <c r="A554" s="12" t="n">
        <v>45694</v>
      </c>
      <c r="B554" s="6" t="n">
        <v>100.585429673915</v>
      </c>
      <c r="C554" s="6" t="n">
        <v>98.2845815443234</v>
      </c>
      <c r="D554" s="6" t="n">
        <v>99.561627077174</v>
      </c>
      <c r="E554" s="6" t="n">
        <v>100.23591860808</v>
      </c>
    </row>
    <row r="555">
      <c r="A555" s="12" t="n">
        <v>45695</v>
      </c>
      <c r="B555" s="6" t="n">
        <v>100.375933623702</v>
      </c>
      <c r="C555" s="6" t="n">
        <v>98.7850304047055</v>
      </c>
      <c r="D555" s="6" t="n">
        <v>99.5106534814966</v>
      </c>
      <c r="E555" s="6" t="n">
        <v>100.032017525382</v>
      </c>
    </row>
    <row r="556">
      <c r="A556" s="12" t="n">
        <v>45698</v>
      </c>
      <c r="B556" s="6" t="n">
        <v>100.640080817449</v>
      </c>
      <c r="C556" s="6" t="n">
        <v>98.5794889084772</v>
      </c>
      <c r="D556" s="6" t="n">
        <v>99.6635742685289</v>
      </c>
      <c r="E556" s="6" t="n">
        <v>100.013481063319</v>
      </c>
    </row>
    <row r="557">
      <c r="A557" s="12" t="n">
        <v>45699</v>
      </c>
      <c r="B557" s="6" t="n">
        <v>100.68562343706</v>
      </c>
      <c r="C557" s="6" t="n">
        <v>98.409693759419</v>
      </c>
      <c r="D557" s="6" t="n">
        <v>99.7859108981548</v>
      </c>
      <c r="E557" s="6" t="n">
        <v>100.041285756414</v>
      </c>
    </row>
    <row r="558">
      <c r="A558" s="12" t="n">
        <v>45700</v>
      </c>
      <c r="B558" s="6" t="n">
        <v>100.56721262607</v>
      </c>
      <c r="C558" s="6" t="n">
        <v>98.6688547764025</v>
      </c>
      <c r="D558" s="6" t="n">
        <v>99.9082475277806</v>
      </c>
      <c r="E558" s="6" t="n">
        <v>99.9486034460968</v>
      </c>
    </row>
    <row r="559">
      <c r="A559" s="12" t="n">
        <v>45701</v>
      </c>
      <c r="B559" s="6" t="n">
        <v>100.494344434692</v>
      </c>
      <c r="C559" s="6" t="n">
        <v>98.2309620235682</v>
      </c>
      <c r="D559" s="6" t="n">
        <v>99.959221123458</v>
      </c>
      <c r="E559" s="6" t="n">
        <v>100.013481063319</v>
      </c>
    </row>
    <row r="560">
      <c r="A560" s="12" t="n">
        <v>45702</v>
      </c>
      <c r="B560" s="6" t="n">
        <v>99.7383369491413</v>
      </c>
      <c r="C560" s="6" t="n">
        <v>99.3390987858428</v>
      </c>
      <c r="D560" s="6" t="n">
        <v>100.417983484555</v>
      </c>
      <c r="E560" s="6" t="n">
        <v>99.8281164426844</v>
      </c>
    </row>
    <row r="561">
      <c r="A561" s="12" t="n">
        <v>45705</v>
      </c>
      <c r="B561" s="6" t="n">
        <v>99.7110113773744</v>
      </c>
      <c r="C561" s="6" t="n">
        <v>99.0888743556518</v>
      </c>
      <c r="D561" s="6" t="n">
        <v>100.3160362932</v>
      </c>
      <c r="E561" s="6" t="n">
        <v>99.8003117495893</v>
      </c>
    </row>
    <row r="562">
      <c r="A562" s="12" t="n">
        <v>45706</v>
      </c>
      <c r="B562" s="6" t="n">
        <v>99.8020966165974</v>
      </c>
      <c r="C562" s="6" t="n">
        <v>99.6697524971667</v>
      </c>
      <c r="D562" s="6" t="n">
        <v>100.234478540116</v>
      </c>
      <c r="E562" s="6" t="n">
        <v>99.6798247461769</v>
      </c>
    </row>
    <row r="563">
      <c r="A563" s="12" t="n">
        <v>45707</v>
      </c>
      <c r="B563" s="6" t="n">
        <v>99.8658562840535</v>
      </c>
      <c r="C563" s="6" t="n">
        <v>99.5625134556562</v>
      </c>
      <c r="D563" s="6" t="n">
        <v>100.295646854929</v>
      </c>
      <c r="E563" s="6" t="n">
        <v>99.64275182205</v>
      </c>
    </row>
    <row r="564">
      <c r="A564" s="12" t="n">
        <v>45708</v>
      </c>
      <c r="B564" s="6" t="n">
        <v>99.6472517099184</v>
      </c>
      <c r="C564" s="6" t="n">
        <v>99.1871768103697</v>
      </c>
      <c r="D564" s="6" t="n">
        <v>100.132531348761</v>
      </c>
      <c r="E564" s="6" t="n">
        <v>99.7261659013355</v>
      </c>
    </row>
    <row r="565">
      <c r="A565" s="12" t="n">
        <v>45709</v>
      </c>
      <c r="B565" s="6" t="n">
        <v>99.5561664706954</v>
      </c>
      <c r="C565" s="6" t="n">
        <v>99.3122890254652</v>
      </c>
      <c r="D565" s="6" t="n">
        <v>100.20389438271</v>
      </c>
      <c r="E565" s="6" t="n">
        <v>99.6890929772086</v>
      </c>
    </row>
    <row r="566">
      <c r="A566" s="12" t="n">
        <v>45712</v>
      </c>
      <c r="B566" s="6" t="n">
        <v>99.5561664706954</v>
      </c>
      <c r="C566" s="6" t="n">
        <v>98.8207767518757</v>
      </c>
      <c r="D566" s="6" t="n">
        <v>100.071363033948</v>
      </c>
      <c r="E566" s="6" t="n">
        <v>99.6798247461769</v>
      </c>
    </row>
    <row r="567">
      <c r="A567" s="12" t="n">
        <v>45713</v>
      </c>
      <c r="B567" s="6" t="n">
        <v>99.6563602338407</v>
      </c>
      <c r="C567" s="6" t="n">
        <v>98.5884254952697</v>
      </c>
      <c r="D567" s="6" t="n">
        <v>99.7655214598838</v>
      </c>
      <c r="E567" s="6" t="n">
        <v>99.5686059737962</v>
      </c>
    </row>
    <row r="568">
      <c r="A568" s="12" t="n">
        <v>45714</v>
      </c>
      <c r="B568" s="6" t="n">
        <v>99.7110113773744</v>
      </c>
      <c r="C568" s="6" t="n">
        <v>98.6241718424398</v>
      </c>
      <c r="D568" s="6" t="n">
        <v>99.1028647160771</v>
      </c>
      <c r="E568" s="6" t="n">
        <v>99.5871424358596</v>
      </c>
    </row>
    <row r="569">
      <c r="A569" s="12" t="n">
        <v>45715</v>
      </c>
      <c r="B569" s="6" t="n">
        <v>99.7474454730636</v>
      </c>
      <c r="C569" s="6" t="n">
        <v>99.142493876407</v>
      </c>
      <c r="D569" s="6" t="n">
        <v>99.123254154348</v>
      </c>
      <c r="E569" s="6" t="n">
        <v>99.5964106668913</v>
      </c>
    </row>
    <row r="570">
      <c r="A570" s="12" t="n">
        <v>45716</v>
      </c>
      <c r="B570" s="6" t="n">
        <v>100.184654621334</v>
      </c>
      <c r="C570" s="6" t="n">
        <v>99.3569719594279</v>
      </c>
      <c r="D570" s="6" t="n">
        <v>98.8174125802834</v>
      </c>
      <c r="E570" s="6" t="n">
        <v>99.9486034460968</v>
      </c>
    </row>
    <row r="571">
      <c r="A571" s="12" t="n">
        <v>45719</v>
      </c>
      <c r="B571" s="6" t="n">
        <v>100.184654621334</v>
      </c>
      <c r="C571" s="6" t="n">
        <v>98.8922694462159</v>
      </c>
      <c r="D571" s="6" t="n">
        <v>98.7562442654705</v>
      </c>
      <c r="E571" s="6" t="n">
        <v>99.7168976703038</v>
      </c>
    </row>
    <row r="572">
      <c r="A572" s="12" t="n">
        <v>45720</v>
      </c>
      <c r="B572" s="6" t="n">
        <v>99.8840733318981</v>
      </c>
      <c r="C572" s="6" t="n">
        <v>97.1406984348787</v>
      </c>
      <c r="D572" s="6" t="n">
        <v>98.6644917932511</v>
      </c>
      <c r="E572" s="6" t="n">
        <v>99.6705565151451</v>
      </c>
    </row>
    <row r="573">
      <c r="A573" s="12" t="n">
        <v>45721</v>
      </c>
      <c r="B573" s="6" t="n">
        <v>99.4924068032393</v>
      </c>
      <c r="C573" s="6" t="n">
        <v>97.9718010065846</v>
      </c>
      <c r="D573" s="6" t="n">
        <v>98.6441023549801</v>
      </c>
      <c r="E573" s="6" t="n">
        <v>99.2534861187176</v>
      </c>
    </row>
    <row r="574">
      <c r="A574" s="12" t="n">
        <v>45722</v>
      </c>
      <c r="B574" s="6" t="n">
        <v>98.9367868439793</v>
      </c>
      <c r="C574" s="6" t="n">
        <v>98.5794889084772</v>
      </c>
      <c r="D574" s="6" t="n">
        <v>98.6237129167091</v>
      </c>
      <c r="E574" s="6" t="n">
        <v>98.9754391877659</v>
      </c>
    </row>
    <row r="575">
      <c r="A575" s="12" t="n">
        <v>45723</v>
      </c>
      <c r="B575" s="6" t="n">
        <v>98.6726396502327</v>
      </c>
      <c r="C575" s="6" t="n">
        <v>98.9280157933861</v>
      </c>
      <c r="D575" s="6" t="n">
        <v>98.6950759506576</v>
      </c>
      <c r="E575" s="6" t="n">
        <v>98.9476344946708</v>
      </c>
    </row>
    <row r="576">
      <c r="A576" s="12" t="n">
        <v>45726</v>
      </c>
      <c r="B576" s="6" t="n">
        <v>98.7728334133779</v>
      </c>
      <c r="C576" s="6" t="n">
        <v>99.5625134556562</v>
      </c>
      <c r="D576" s="6" t="n">
        <v>98.1343663982057</v>
      </c>
      <c r="E576" s="6" t="n">
        <v>98.706660487846</v>
      </c>
    </row>
    <row r="577">
      <c r="A577" s="12" t="n">
        <v>45727</v>
      </c>
      <c r="B577" s="6" t="n">
        <v>98.7363993176888</v>
      </c>
      <c r="C577" s="6" t="n">
        <v>98.7046011235727</v>
      </c>
      <c r="D577" s="6" t="n">
        <v>98.1445611173412</v>
      </c>
      <c r="E577" s="6" t="n">
        <v>99.0125121118928</v>
      </c>
    </row>
    <row r="578">
      <c r="A578" s="12" t="n">
        <v>45728</v>
      </c>
      <c r="B578" s="6" t="n">
        <v>98.7819419373002</v>
      </c>
      <c r="C578" s="6" t="n">
        <v>99.3390987858428</v>
      </c>
      <c r="D578" s="6" t="n">
        <v>98.2363135895606</v>
      </c>
      <c r="E578" s="6" t="n">
        <v>98.9847074187977</v>
      </c>
    </row>
    <row r="579">
      <c r="A579" s="12" t="n">
        <v>45729</v>
      </c>
      <c r="B579" s="6" t="n">
        <v>98.8274845569117</v>
      </c>
      <c r="C579" s="6" t="n">
        <v>99.8038012990548</v>
      </c>
      <c r="D579" s="6" t="n">
        <v>98.3586502191865</v>
      </c>
      <c r="E579" s="6" t="n">
        <v>99.0310485739563</v>
      </c>
    </row>
    <row r="580">
      <c r="A580" s="12" t="n">
        <v>45730</v>
      </c>
      <c r="B580" s="6" t="n">
        <v>98.5542288392428</v>
      </c>
      <c r="C580" s="6" t="n">
        <v>100.599157523591</v>
      </c>
      <c r="D580" s="6" t="n">
        <v>98.1343663982057</v>
      </c>
      <c r="E580" s="6" t="n">
        <v>98.9569027257025</v>
      </c>
    </row>
    <row r="581">
      <c r="A581" s="12" t="n">
        <v>45733</v>
      </c>
      <c r="B581" s="6" t="n">
        <v>98.3356242651077</v>
      </c>
      <c r="C581" s="6" t="n">
        <v>100.98343075567</v>
      </c>
      <c r="D581" s="6" t="n">
        <v>98.6033234784382</v>
      </c>
      <c r="E581" s="6" t="n">
        <v>98.9012933395122</v>
      </c>
    </row>
    <row r="582">
      <c r="A582" s="12" t="n">
        <v>45734</v>
      </c>
      <c r="B582" s="6" t="n">
        <v>98.3811668847192</v>
      </c>
      <c r="C582" s="6" t="n">
        <v>100.107645250001</v>
      </c>
      <c r="D582" s="6" t="n">
        <v>98.9295544907738</v>
      </c>
      <c r="E582" s="6" t="n">
        <v>99.0032438808611</v>
      </c>
    </row>
    <row r="583">
      <c r="A583" s="12" t="n">
        <v>45735</v>
      </c>
      <c r="B583" s="6" t="n">
        <v>98.4084924564861</v>
      </c>
      <c r="C583" s="6" t="n">
        <v>100.760016085856</v>
      </c>
      <c r="D583" s="6" t="n">
        <v>98.705270669793</v>
      </c>
      <c r="E583" s="6" t="n">
        <v>99.0217803429246</v>
      </c>
    </row>
    <row r="584">
      <c r="A584" s="12" t="n">
        <v>45736</v>
      </c>
      <c r="B584" s="6" t="n">
        <v>98.8092675090671</v>
      </c>
      <c r="C584" s="6" t="n">
        <v>99.491020761316</v>
      </c>
      <c r="D584" s="6" t="n">
        <v>98.3688449383219</v>
      </c>
      <c r="E584" s="6" t="n">
        <v>99.0217803429246</v>
      </c>
    </row>
    <row r="585">
      <c r="A585" s="12" t="n">
        <v>45737</v>
      </c>
      <c r="B585" s="6" t="n">
        <v>98.8548101286786</v>
      </c>
      <c r="C585" s="6" t="n">
        <v>99.2944158518801</v>
      </c>
      <c r="D585" s="6" t="n">
        <v>98.6033234784382</v>
      </c>
      <c r="E585" s="6" t="n">
        <v>99.0125121118928</v>
      </c>
    </row>
    <row r="586">
      <c r="A586" s="12" t="n">
        <v>45740</v>
      </c>
      <c r="B586" s="6" t="n">
        <v>98.8548101286786</v>
      </c>
      <c r="C586" s="6" t="n">
        <v>99.7769915386771</v>
      </c>
      <c r="D586" s="6" t="n">
        <v>98.786828422877</v>
      </c>
      <c r="E586" s="6" t="n">
        <v>99.040316804988</v>
      </c>
    </row>
    <row r="587">
      <c r="A587" s="12" t="n">
        <v>45741</v>
      </c>
      <c r="B587" s="6" t="n">
        <v>98.681748174155</v>
      </c>
      <c r="C587" s="6" t="n">
        <v>100.590220936798</v>
      </c>
      <c r="D587" s="6" t="n">
        <v>99.1334488734835</v>
      </c>
      <c r="E587" s="6" t="n">
        <v>98.9105615705439</v>
      </c>
    </row>
    <row r="588">
      <c r="A588" s="12" t="n">
        <v>45742</v>
      </c>
      <c r="B588" s="6" t="n">
        <v>98.8548101286786</v>
      </c>
      <c r="C588" s="6" t="n">
        <v>100.331059919814</v>
      </c>
      <c r="D588" s="6" t="n">
        <v>99.3475379753288</v>
      </c>
      <c r="E588" s="6" t="n">
        <v>98.9661709567342</v>
      </c>
    </row>
    <row r="589">
      <c r="A589" s="12" t="n">
        <v>45743</v>
      </c>
      <c r="B589" s="6" t="n">
        <v>99.0643061788914</v>
      </c>
      <c r="C589" s="6" t="n">
        <v>99.2407963311249</v>
      </c>
      <c r="D589" s="6" t="n">
        <v>99.143643592619</v>
      </c>
      <c r="E589" s="6" t="n">
        <v>99.0310485739563</v>
      </c>
    </row>
    <row r="590">
      <c r="A590" s="12" t="n">
        <v>45744</v>
      </c>
      <c r="B590" s="6" t="n">
        <v>99.082523226736</v>
      </c>
      <c r="C590" s="6" t="n">
        <v>98.9816353141413</v>
      </c>
      <c r="D590" s="6" t="n">
        <v>99.1334488734835</v>
      </c>
      <c r="E590" s="6" t="n">
        <v>99.040316804988</v>
      </c>
    </row>
    <row r="591">
      <c r="A591" s="12" t="n">
        <v>45747</v>
      </c>
      <c r="B591" s="6" t="n">
        <v>99.082523226736</v>
      </c>
      <c r="C591" s="6" t="n">
        <v>98.6956645367801</v>
      </c>
      <c r="D591" s="6" t="n">
        <v>98.705270669793</v>
      </c>
      <c r="E591" s="6" t="n">
        <v>99.1886085014956</v>
      </c>
    </row>
    <row r="592">
      <c r="A592" s="12" t="n">
        <v>45748</v>
      </c>
      <c r="B592" s="6" t="n">
        <v>99.3011278008711</v>
      </c>
      <c r="C592" s="6" t="n">
        <v>98.1862790896055</v>
      </c>
      <c r="D592" s="6" t="n">
        <v>98.5727393210317</v>
      </c>
      <c r="E592" s="6" t="n">
        <v>99.0681214980832</v>
      </c>
    </row>
    <row r="593">
      <c r="A593" s="12" t="n">
        <v>45749</v>
      </c>
      <c r="B593" s="6" t="n">
        <v>99.0460891310468</v>
      </c>
      <c r="C593" s="6" t="n">
        <v>98.8833328594234</v>
      </c>
      <c r="D593" s="6" t="n">
        <v>98.9397492099093</v>
      </c>
      <c r="E593" s="6" t="n">
        <v>98.8920251084804</v>
      </c>
    </row>
    <row r="594">
      <c r="A594" s="12" t="n">
        <v>45750</v>
      </c>
      <c r="B594" s="6" t="n">
        <v>97.8893065929152</v>
      </c>
      <c r="C594" s="6" t="n">
        <v>100.089772076416</v>
      </c>
      <c r="D594" s="6" t="n">
        <v>100.142726067897</v>
      </c>
      <c r="E594" s="6" t="n">
        <v>97.5203269157855</v>
      </c>
    </row>
    <row r="595">
      <c r="A595" s="12" t="n">
        <v>45751</v>
      </c>
      <c r="B595" s="6" t="n">
        <v>98.3082986933409</v>
      </c>
      <c r="C595" s="6" t="n">
        <v>98.3918205858339</v>
      </c>
      <c r="D595" s="6" t="n">
        <v>99.5310429197676</v>
      </c>
      <c r="E595" s="6" t="n">
        <v>97.8169103088006</v>
      </c>
    </row>
    <row r="596">
      <c r="A596" s="12" t="n">
        <v>45754</v>
      </c>
      <c r="B596" s="6" t="n">
        <v>99.1007402745806</v>
      </c>
      <c r="C596" s="6" t="n">
        <v>97.328366757522</v>
      </c>
      <c r="D596" s="6" t="n">
        <v>99.3067590987868</v>
      </c>
      <c r="E596" s="6" t="n">
        <v>98.1320301638792</v>
      </c>
    </row>
    <row r="597">
      <c r="A597" s="12" t="n">
        <v>45755</v>
      </c>
      <c r="B597" s="6" t="n">
        <v>99.1189573224252</v>
      </c>
      <c r="C597" s="6" t="n">
        <v>98.1505327424354</v>
      </c>
      <c r="D597" s="6" t="n">
        <v>100.142726067897</v>
      </c>
      <c r="E597" s="6" t="n">
        <v>97.8910561570544</v>
      </c>
    </row>
    <row r="598">
      <c r="A598" s="12" t="n">
        <v>45756</v>
      </c>
      <c r="B598" s="6" t="n">
        <v>99.2282596094927</v>
      </c>
      <c r="C598" s="6" t="n">
        <v>95.9968153254339</v>
      </c>
      <c r="D598" s="6" t="n">
        <v>99.9898052808645</v>
      </c>
      <c r="E598" s="6" t="n">
        <v>97.4647175295951</v>
      </c>
    </row>
    <row r="599">
      <c r="A599" s="12" t="n">
        <v>45757</v>
      </c>
      <c r="B599" s="6" t="n">
        <v>98.4540350760976</v>
      </c>
      <c r="C599" s="6" t="n">
        <v>98.293518131116</v>
      </c>
      <c r="D599" s="6" t="n">
        <v>100.438372922826</v>
      </c>
      <c r="E599" s="6" t="n">
        <v>97.4183763744365</v>
      </c>
    </row>
    <row r="600">
      <c r="A600" s="12" t="n">
        <v>45758</v>
      </c>
      <c r="B600" s="6" t="n">
        <v>97.3427951575775</v>
      </c>
      <c r="C600" s="6" t="n">
        <v>97.9896741801697</v>
      </c>
      <c r="D600" s="6" t="n">
        <v>101.498623712917</v>
      </c>
      <c r="E600" s="6" t="n">
        <v>96.5378944264229</v>
      </c>
    </row>
    <row r="601">
      <c r="A601" s="12" t="n">
        <v>45761</v>
      </c>
      <c r="B601" s="6" t="n">
        <v>97.1606246791315</v>
      </c>
      <c r="C601" s="6" t="n">
        <v>98.8922694462159</v>
      </c>
      <c r="D601" s="6" t="n">
        <v>101.376287083291</v>
      </c>
      <c r="E601" s="6" t="n">
        <v>96.1764334161857</v>
      </c>
    </row>
    <row r="602">
      <c r="A602" s="12" t="n">
        <v>45762</v>
      </c>
      <c r="B602" s="6" t="n">
        <v>97.142407631287</v>
      </c>
      <c r="C602" s="6" t="n">
        <v>99.5535768688637</v>
      </c>
      <c r="D602" s="6" t="n">
        <v>101.396676521562</v>
      </c>
      <c r="E602" s="6" t="n">
        <v>96.1857016472174</v>
      </c>
    </row>
    <row r="603">
      <c r="A603" s="12" t="n">
        <v>45763</v>
      </c>
      <c r="B603" s="6" t="n">
        <v>96.9966712485302</v>
      </c>
      <c r="C603" s="6" t="n">
        <v>99.741245191507</v>
      </c>
      <c r="D603" s="6" t="n">
        <v>100.968498317871</v>
      </c>
      <c r="E603" s="6" t="n">
        <v>96.1115557989636</v>
      </c>
    </row>
    <row r="604">
      <c r="A604" s="12" t="n">
        <v>45764</v>
      </c>
      <c r="B604" s="6" t="n">
        <v>96.8600433896958</v>
      </c>
      <c r="C604" s="6" t="n">
        <v>100.188074531134</v>
      </c>
      <c r="D604" s="6" t="n">
        <v>101.182587419717</v>
      </c>
      <c r="E604" s="6" t="n">
        <v>96.1764334161857</v>
      </c>
    </row>
    <row r="605">
      <c r="A605" s="12" t="n">
        <v>45765</v>
      </c>
      <c r="B605" s="6" t="n">
        <v>96.8600433896958</v>
      </c>
      <c r="C605" s="6" t="n">
        <v>100.188074531134</v>
      </c>
      <c r="D605" s="6" t="n">
        <v>101.182587419717</v>
      </c>
      <c r="E605" s="6" t="n">
        <v>96.1857016472174</v>
      </c>
    </row>
    <row r="606">
      <c r="A606" s="12" t="n">
        <v>45768</v>
      </c>
      <c r="B606" s="6" t="n">
        <v>96.8236092940066</v>
      </c>
      <c r="C606" s="6" t="n">
        <v>100.152328183964</v>
      </c>
      <c r="D606" s="6" t="n">
        <v>101.162197981446</v>
      </c>
      <c r="E606" s="6" t="n">
        <v>96.1115557989636</v>
      </c>
    </row>
    <row r="607">
      <c r="A607" s="12" t="n">
        <v>45769</v>
      </c>
      <c r="B607" s="6" t="n">
        <v>96.3044234304357</v>
      </c>
      <c r="C607" s="6" t="n">
        <v>101.296211293408</v>
      </c>
      <c r="D607" s="6" t="n">
        <v>101.213171577123</v>
      </c>
      <c r="E607" s="6" t="n">
        <v>95.4257067026162</v>
      </c>
    </row>
    <row r="608">
      <c r="A608" s="12" t="n">
        <v>45770</v>
      </c>
      <c r="B608" s="6" t="n">
        <v>96.3317490022026</v>
      </c>
      <c r="C608" s="6" t="n">
        <v>101.850279674546</v>
      </c>
      <c r="D608" s="6" t="n">
        <v>101.35589764502</v>
      </c>
      <c r="E608" s="6" t="n">
        <v>95.9818005645195</v>
      </c>
    </row>
    <row r="609">
      <c r="A609" s="12" t="n">
        <v>45771</v>
      </c>
      <c r="B609" s="6" t="n">
        <v>96.5321365284931</v>
      </c>
      <c r="C609" s="6" t="n">
        <v>101.778786980205</v>
      </c>
      <c r="D609" s="6" t="n">
        <v>101.213171577123</v>
      </c>
      <c r="E609" s="6" t="n">
        <v>96.2135063403126</v>
      </c>
    </row>
    <row r="610">
      <c r="A610" s="12" t="n">
        <v>45772</v>
      </c>
      <c r="B610" s="6" t="n">
        <v>96.650547339483</v>
      </c>
      <c r="C610" s="6" t="n">
        <v>101.65367476511</v>
      </c>
      <c r="D610" s="6" t="n">
        <v>101.202976857988</v>
      </c>
      <c r="E610" s="6" t="n">
        <v>96.3896027299153</v>
      </c>
    </row>
    <row r="611">
      <c r="A611" s="12" t="n">
        <v>45775</v>
      </c>
      <c r="B611" s="6" t="n">
        <v>96.5867876720269</v>
      </c>
      <c r="C611" s="6" t="n">
        <v>102.207743146247</v>
      </c>
      <c r="D611" s="6" t="n">
        <v>101.253950453665</v>
      </c>
      <c r="E611" s="6" t="n">
        <v>96.232042802376</v>
      </c>
    </row>
    <row r="612">
      <c r="A612" s="12" t="n">
        <v>45776</v>
      </c>
      <c r="B612" s="6" t="n">
        <v>96.404617193581</v>
      </c>
      <c r="C612" s="6" t="n">
        <v>101.61792841794</v>
      </c>
      <c r="D612" s="6" t="n">
        <v>101.284534611071</v>
      </c>
      <c r="E612" s="6" t="n">
        <v>96.3154568816615</v>
      </c>
    </row>
    <row r="613">
      <c r="A613" s="12" t="n">
        <v>45777</v>
      </c>
      <c r="B613" s="6" t="n">
        <v>96.2406637629797</v>
      </c>
      <c r="C613" s="6" t="n">
        <v>101.975391889641</v>
      </c>
      <c r="D613" s="6" t="n">
        <v>101.335508206749</v>
      </c>
      <c r="E613" s="6" t="n">
        <v>96.2413110334078</v>
      </c>
    </row>
    <row r="614">
      <c r="A614" s="12" t="n">
        <v>45778</v>
      </c>
      <c r="B614" s="6" t="n">
        <v>96.2497722869019</v>
      </c>
      <c r="C614" s="6" t="n">
        <v>101.984328476434</v>
      </c>
      <c r="D614" s="6" t="n">
        <v>101.335508206749</v>
      </c>
      <c r="E614" s="6" t="n">
        <v>96.2598474954712</v>
      </c>
    </row>
    <row r="615">
      <c r="A615" s="12" t="n">
        <v>45779</v>
      </c>
      <c r="B615" s="6" t="n">
        <v>96.2862063825911</v>
      </c>
      <c r="C615" s="6" t="n">
        <v>101.05492345001</v>
      </c>
      <c r="D615" s="6" t="n">
        <v>101.427260678968</v>
      </c>
      <c r="E615" s="6" t="n">
        <v>95.8798500231706</v>
      </c>
    </row>
    <row r="616">
      <c r="A616" s="12" t="n">
        <v>45782</v>
      </c>
      <c r="B616" s="6" t="n">
        <v>96.003842141</v>
      </c>
      <c r="C616" s="6" t="n">
        <v>101.430260095297</v>
      </c>
      <c r="D616" s="6" t="n">
        <v>101.396676521562</v>
      </c>
      <c r="E616" s="6" t="n">
        <v>95.4071702405527</v>
      </c>
    </row>
    <row r="617">
      <c r="A617" s="12" t="n">
        <v>45783</v>
      </c>
      <c r="B617" s="6" t="n">
        <v>95.9400824735439</v>
      </c>
      <c r="C617" s="6" t="n">
        <v>100.688523391516</v>
      </c>
      <c r="D617" s="6" t="n">
        <v>101.386481802426</v>
      </c>
      <c r="E617" s="6" t="n">
        <v>96.1764334161857</v>
      </c>
    </row>
    <row r="618">
      <c r="A618" s="12" t="n">
        <v>45784</v>
      </c>
      <c r="B618" s="6" t="n">
        <v>95.9218654256993</v>
      </c>
      <c r="C618" s="6" t="n">
        <v>101.144289317935</v>
      </c>
      <c r="D618" s="6" t="n">
        <v>101.417065959833</v>
      </c>
      <c r="E618" s="6" t="n">
        <v>96.167165185154</v>
      </c>
    </row>
    <row r="619">
      <c r="A619" s="12" t="n">
        <v>45785</v>
      </c>
      <c r="B619" s="6" t="n">
        <v>96.2497722869019</v>
      </c>
      <c r="C619" s="6" t="n">
        <v>101.644738178317</v>
      </c>
      <c r="D619" s="6" t="n">
        <v>100.846161688246</v>
      </c>
      <c r="E619" s="6" t="n">
        <v>96.3617980368202</v>
      </c>
    </row>
    <row r="620">
      <c r="A620" s="12" t="n">
        <v>45786</v>
      </c>
      <c r="B620" s="6" t="n">
        <v>96.3317490022026</v>
      </c>
      <c r="C620" s="6" t="n">
        <v>102.055821170774</v>
      </c>
      <c r="D620" s="6" t="n">
        <v>100.72382505862</v>
      </c>
      <c r="E620" s="6" t="n">
        <v>96.4452121161057</v>
      </c>
    </row>
    <row r="621">
      <c r="A621" s="12" t="n">
        <v>45789</v>
      </c>
      <c r="B621" s="6" t="n">
        <v>96.8145007700843</v>
      </c>
      <c r="C621" s="6" t="n">
        <v>102.100504104737</v>
      </c>
      <c r="D621" s="6" t="n">
        <v>100.438372922826</v>
      </c>
      <c r="E621" s="6" t="n">
        <v>97.7149597674517</v>
      </c>
    </row>
    <row r="622">
      <c r="A622" s="12" t="n">
        <v>45790</v>
      </c>
      <c r="B622" s="6" t="n">
        <v>96.8509348657735</v>
      </c>
      <c r="C622" s="6" t="n">
        <v>101.921772368886</v>
      </c>
      <c r="D622" s="6" t="n">
        <v>100.367009888878</v>
      </c>
      <c r="E622" s="6" t="n">
        <v>97.7891056157055</v>
      </c>
    </row>
    <row r="623">
      <c r="A623" s="12" t="n">
        <v>45791</v>
      </c>
      <c r="B623" s="6" t="n">
        <v>96.2588808108243</v>
      </c>
      <c r="C623" s="6" t="n">
        <v>102.717128593422</v>
      </c>
      <c r="D623" s="6" t="n">
        <v>100.509735956774</v>
      </c>
      <c r="E623" s="6" t="n">
        <v>97.0661835952311</v>
      </c>
    </row>
    <row r="624">
      <c r="A624" s="12" t="n">
        <v>45792</v>
      </c>
      <c r="B624" s="6" t="n">
        <v>96.3499660500472</v>
      </c>
      <c r="C624" s="6" t="n">
        <v>102.940543263235</v>
      </c>
      <c r="D624" s="6" t="n">
        <v>100.193699663574</v>
      </c>
      <c r="E624" s="6" t="n">
        <v>97.0105742090407</v>
      </c>
    </row>
    <row r="625">
      <c r="A625" s="12" t="n">
        <v>45793</v>
      </c>
      <c r="B625" s="6" t="n">
        <v>96.404617193581</v>
      </c>
      <c r="C625" s="6" t="n">
        <v>102.154123625492</v>
      </c>
      <c r="D625" s="6" t="n">
        <v>100.336425731471</v>
      </c>
      <c r="E625" s="6" t="n">
        <v>97.0847200572945</v>
      </c>
    </row>
    <row r="626">
      <c r="A626" s="12" t="n">
        <v>45796</v>
      </c>
      <c r="B626" s="6" t="n">
        <v>96.1495785237567</v>
      </c>
      <c r="C626" s="6" t="n">
        <v>102.198806559455</v>
      </c>
      <c r="D626" s="6" t="n">
        <v>100.397594046284</v>
      </c>
      <c r="E626" s="6" t="n">
        <v>96.667649660867</v>
      </c>
    </row>
    <row r="627">
      <c r="A627" s="12" t="n">
        <v>45797</v>
      </c>
      <c r="B627" s="6" t="n">
        <v>96.0949273802229</v>
      </c>
      <c r="C627" s="6" t="n">
        <v>103.172894519841</v>
      </c>
      <c r="D627" s="6" t="n">
        <v>100.346620450607</v>
      </c>
      <c r="E627" s="6" t="n">
        <v>96.6120402746767</v>
      </c>
    </row>
    <row r="628">
      <c r="A628" s="12" t="n">
        <v>45798</v>
      </c>
      <c r="B628" s="6" t="n">
        <v>95.7305864233311</v>
      </c>
      <c r="C628" s="6" t="n">
        <v>102.806494461347</v>
      </c>
      <c r="D628" s="6" t="n">
        <v>100.642267305536</v>
      </c>
      <c r="E628" s="6" t="n">
        <v>96.3803344988836</v>
      </c>
    </row>
    <row r="629">
      <c r="A629" s="12" t="n">
        <v>45799</v>
      </c>
      <c r="B629" s="6" t="n">
        <v>95.821671662554</v>
      </c>
      <c r="C629" s="6" t="n">
        <v>102.306045600965</v>
      </c>
      <c r="D629" s="6" t="n">
        <v>100.846161688246</v>
      </c>
      <c r="E629" s="6" t="n">
        <v>96.4266756540422</v>
      </c>
    </row>
    <row r="630">
      <c r="A630" s="12" t="n">
        <v>45800</v>
      </c>
      <c r="B630" s="6" t="n">
        <v>95.5939585644966</v>
      </c>
      <c r="C630" s="6" t="n">
        <v>102.556270031156</v>
      </c>
      <c r="D630" s="6" t="n">
        <v>100.999082475278</v>
      </c>
      <c r="E630" s="6" t="n">
        <v>96.4915532712643</v>
      </c>
    </row>
    <row r="631">
      <c r="A631" s="12" t="n">
        <v>45803</v>
      </c>
      <c r="B631" s="6" t="n">
        <v>95.1931835119156</v>
      </c>
      <c r="C631" s="6" t="n">
        <v>103.181831106634</v>
      </c>
      <c r="D631" s="6" t="n">
        <v>101.67193393822</v>
      </c>
      <c r="E631" s="6" t="n">
        <v>96.1578969541223</v>
      </c>
    </row>
    <row r="632">
      <c r="A632" s="12" t="n">
        <v>45804</v>
      </c>
      <c r="B632" s="6" t="n">
        <v>95.4664392295845</v>
      </c>
      <c r="C632" s="6" t="n">
        <v>102.985226197198</v>
      </c>
      <c r="D632" s="6" t="n">
        <v>101.376287083291</v>
      </c>
      <c r="E632" s="6" t="n">
        <v>96.3247251126933</v>
      </c>
    </row>
    <row r="633">
      <c r="A633" s="12" t="n">
        <v>45805</v>
      </c>
      <c r="B633" s="6" t="n">
        <v>95.6030670884189</v>
      </c>
      <c r="C633" s="6" t="n">
        <v>102.806494461347</v>
      </c>
      <c r="D633" s="6" t="n">
        <v>101.03986135182</v>
      </c>
      <c r="E633" s="6" t="n">
        <v>96.4452121161057</v>
      </c>
    </row>
    <row r="634">
      <c r="A634" s="12" t="n">
        <v>45806</v>
      </c>
      <c r="B634" s="6" t="n">
        <v>95.757911995098</v>
      </c>
      <c r="C634" s="6" t="n">
        <v>102.297109014173</v>
      </c>
      <c r="D634" s="6" t="n">
        <v>101.141808543175</v>
      </c>
      <c r="E634" s="6" t="n">
        <v>96.6305767367401</v>
      </c>
    </row>
    <row r="635">
      <c r="A635" s="12" t="n">
        <v>45807</v>
      </c>
      <c r="B635" s="6" t="n">
        <v>95.5575244688074</v>
      </c>
      <c r="C635" s="6" t="n">
        <v>102.806494461347</v>
      </c>
      <c r="D635" s="6" t="n">
        <v>101.172392700581</v>
      </c>
      <c r="E635" s="6" t="n">
        <v>96.3896027299153</v>
      </c>
    </row>
    <row r="636">
      <c r="A636" s="12" t="n">
        <v>45810</v>
      </c>
      <c r="B636" s="6" t="n">
        <v>95.2478346554494</v>
      </c>
      <c r="C636" s="6" t="n">
        <v>102.77968470097</v>
      </c>
      <c r="D636" s="6" t="n">
        <v>101.845244163523</v>
      </c>
      <c r="E636" s="6" t="n">
        <v>96.000337026583</v>
      </c>
    </row>
    <row r="637">
      <c r="A637" s="12" t="n">
        <v>45811</v>
      </c>
      <c r="B637" s="6" t="n">
        <v>95.3389198946723</v>
      </c>
      <c r="C637" s="6" t="n">
        <v>102.99416278399</v>
      </c>
      <c r="D637" s="6" t="n">
        <v>101.590376185136</v>
      </c>
      <c r="E637" s="6" t="n">
        <v>96.3247251126933</v>
      </c>
    </row>
    <row r="638">
      <c r="A638" s="12" t="n">
        <v>45812</v>
      </c>
      <c r="B638" s="6" t="n">
        <v>95.2933772750609</v>
      </c>
      <c r="C638" s="6" t="n">
        <v>103.163957933049</v>
      </c>
      <c r="D638" s="6" t="n">
        <v>101.835049444388</v>
      </c>
      <c r="E638" s="6" t="n">
        <v>96.3061886506298</v>
      </c>
    </row>
    <row r="639">
      <c r="A639" s="12" t="n">
        <v>45813</v>
      </c>
      <c r="B639" s="6" t="n">
        <v>95.0656641770035</v>
      </c>
      <c r="C639" s="6" t="n">
        <v>102.940543263235</v>
      </c>
      <c r="D639" s="6" t="n">
        <v>102.069527984504</v>
      </c>
      <c r="E639" s="6" t="n">
        <v>96.1486287230905</v>
      </c>
    </row>
    <row r="640">
      <c r="A640" s="12" t="n">
        <v>45814</v>
      </c>
      <c r="B640" s="6" t="n">
        <v>95.111206796615</v>
      </c>
      <c r="C640" s="6" t="n">
        <v>103.52142140475</v>
      </c>
      <c r="D640" s="6" t="n">
        <v>101.804465286981</v>
      </c>
      <c r="E640" s="6" t="n">
        <v>96.2413110334078</v>
      </c>
    </row>
    <row r="641">
      <c r="A641" s="12" t="n">
        <v>45817</v>
      </c>
      <c r="B641" s="6" t="n">
        <v>95.0565556530812</v>
      </c>
      <c r="C641" s="6" t="n">
        <v>103.852075116074</v>
      </c>
      <c r="D641" s="6" t="n">
        <v>101.87582832093</v>
      </c>
      <c r="E641" s="6" t="n">
        <v>96.2227745713443</v>
      </c>
    </row>
    <row r="642">
      <c r="A642" s="12" t="n">
        <v>45818</v>
      </c>
      <c r="B642" s="6" t="n">
        <v>95.0565556530812</v>
      </c>
      <c r="C642" s="6" t="n">
        <v>104.003997091547</v>
      </c>
      <c r="D642" s="6" t="n">
        <v>101.835049444388</v>
      </c>
      <c r="E642" s="6" t="n">
        <v>96.2042381092809</v>
      </c>
    </row>
    <row r="643">
      <c r="A643" s="12" t="n">
        <v>45819</v>
      </c>
      <c r="B643" s="6" t="n">
        <v>95.1020982726926</v>
      </c>
      <c r="C643" s="6" t="n">
        <v>104.209538587776</v>
      </c>
      <c r="D643" s="6" t="n">
        <v>101.896217759201</v>
      </c>
      <c r="E643" s="6" t="n">
        <v>96.2783839575347</v>
      </c>
    </row>
    <row r="644">
      <c r="A644" s="12" t="n">
        <v>45820</v>
      </c>
      <c r="B644" s="6" t="n">
        <v>94.4645015981319</v>
      </c>
      <c r="C644" s="6" t="n">
        <v>104.486572778344</v>
      </c>
      <c r="D644" s="6" t="n">
        <v>101.967580793149</v>
      </c>
      <c r="E644" s="6" t="n">
        <v>95.6852171715044</v>
      </c>
    </row>
    <row r="645">
      <c r="A645" s="12" t="n">
        <v>45821</v>
      </c>
      <c r="B645" s="6" t="n">
        <v>94.8288425550238</v>
      </c>
      <c r="C645" s="6" t="n">
        <v>104.04868002551</v>
      </c>
      <c r="D645" s="6" t="n">
        <v>102.181669894994</v>
      </c>
      <c r="E645" s="6" t="n">
        <v>96.0188734886464</v>
      </c>
    </row>
    <row r="646">
      <c r="A646" s="12" t="n">
        <v>45824</v>
      </c>
      <c r="B646" s="6" t="n">
        <v>94.5100442177434</v>
      </c>
      <c r="C646" s="6" t="n">
        <v>104.450826431174</v>
      </c>
      <c r="D646" s="6" t="n">
        <v>102.528290345601</v>
      </c>
      <c r="E646" s="6" t="n">
        <v>95.7500947887265</v>
      </c>
    </row>
    <row r="647">
      <c r="A647" s="12" t="n">
        <v>45825</v>
      </c>
      <c r="B647" s="6" t="n">
        <v>94.5738038851995</v>
      </c>
      <c r="C647" s="6" t="n">
        <v>104.370397150041</v>
      </c>
      <c r="D647" s="6" t="n">
        <v>102.599653379549</v>
      </c>
      <c r="E647" s="6" t="n">
        <v>95.8057041749168</v>
      </c>
    </row>
    <row r="648">
      <c r="A648" s="12" t="n">
        <v>45826</v>
      </c>
      <c r="B648" s="6" t="n">
        <v>94.8834936985576</v>
      </c>
      <c r="C648" s="6" t="n">
        <v>104.406143497211</v>
      </c>
      <c r="D648" s="6" t="n">
        <v>102.028749107962</v>
      </c>
      <c r="E648" s="6" t="n">
        <v>96.0466781817416</v>
      </c>
    </row>
    <row r="649">
      <c r="A649" s="12" t="n">
        <v>45827</v>
      </c>
      <c r="B649" s="6" t="n">
        <v>95.1476408923041</v>
      </c>
      <c r="C649" s="6" t="n">
        <v>103.816328768904</v>
      </c>
      <c r="D649" s="6" t="n">
        <v>101.722907533897</v>
      </c>
      <c r="E649" s="6" t="n">
        <v>96.2969204195981</v>
      </c>
    </row>
    <row r="650">
      <c r="A650" s="12" t="n">
        <v>45828</v>
      </c>
      <c r="B650" s="6" t="n">
        <v>94.9745789377805</v>
      </c>
      <c r="C650" s="6" t="n">
        <v>103.905694636829</v>
      </c>
      <c r="D650" s="6" t="n">
        <v>101.590376185136</v>
      </c>
      <c r="E650" s="6" t="n">
        <v>96.2413110334078</v>
      </c>
    </row>
    <row r="651">
      <c r="A651" s="12" t="n">
        <v>45831</v>
      </c>
      <c r="B651" s="6" t="n">
        <v>95.5210903731183</v>
      </c>
      <c r="C651" s="6" t="n">
        <v>103.003099370783</v>
      </c>
      <c r="D651" s="6" t="n">
        <v>101.284534611071</v>
      </c>
      <c r="E651" s="6" t="n">
        <v>96.6954543539622</v>
      </c>
    </row>
    <row r="652">
      <c r="A652" s="12" t="n">
        <v>45832</v>
      </c>
      <c r="B652" s="6" t="n">
        <v>94.6466720765778</v>
      </c>
      <c r="C652" s="6" t="n">
        <v>103.744836074564</v>
      </c>
      <c r="D652" s="6" t="n">
        <v>101.447650117239</v>
      </c>
      <c r="E652" s="6" t="n">
        <v>95.8891182542023</v>
      </c>
    </row>
    <row r="653">
      <c r="A653" s="12" t="n">
        <v>45833</v>
      </c>
      <c r="B653" s="6" t="n">
        <v>94.7013232201116</v>
      </c>
      <c r="C653" s="6" t="n">
        <v>103.995060504755</v>
      </c>
      <c r="D653" s="6" t="n">
        <v>101.304924049342</v>
      </c>
      <c r="E653" s="6" t="n">
        <v>95.9539958714244</v>
      </c>
    </row>
    <row r="654">
      <c r="A654" s="12" t="n">
        <v>45834</v>
      </c>
      <c r="B654" s="6" t="n">
        <v>94.2550055479191</v>
      </c>
      <c r="C654" s="6" t="n">
        <v>104.504445951929</v>
      </c>
      <c r="D654" s="6" t="n">
        <v>101.437455398104</v>
      </c>
      <c r="E654" s="6" t="n">
        <v>95.5369254749968</v>
      </c>
    </row>
    <row r="655">
      <c r="A655" s="12" t="n">
        <v>45835</v>
      </c>
      <c r="B655" s="6" t="n">
        <v>94.1821373565408</v>
      </c>
      <c r="C655" s="6" t="n">
        <v>104.513382538722</v>
      </c>
      <c r="D655" s="6" t="n">
        <v>101.682128657355</v>
      </c>
      <c r="E655" s="6" t="n">
        <v>95.4720478577748</v>
      </c>
    </row>
    <row r="656">
      <c r="A656" s="12" t="n">
        <v>45838</v>
      </c>
      <c r="B656" s="6" t="n">
        <v>94.127486213007</v>
      </c>
      <c r="C656" s="6" t="n">
        <v>104.558065472685</v>
      </c>
      <c r="D656" s="6" t="n">
        <v>101.46803955551</v>
      </c>
      <c r="E656" s="6" t="n">
        <v>95.5183890129334</v>
      </c>
    </row>
    <row r="657">
      <c r="A657" s="12" t="n">
        <v>45839</v>
      </c>
      <c r="B657" s="6" t="n">
        <v>93.6811685408145</v>
      </c>
      <c r="C657" s="6" t="n">
        <v>105.299802176465</v>
      </c>
      <c r="D657" s="6" t="n">
        <v>101.733102253033</v>
      </c>
      <c r="E657" s="6" t="n">
        <v>95.1569280026962</v>
      </c>
    </row>
    <row r="658">
      <c r="A658" s="12" t="n">
        <v>45840</v>
      </c>
      <c r="B658" s="6" t="n">
        <v>93.9817498302503</v>
      </c>
      <c r="C658" s="6" t="n">
        <v>105.094260680237</v>
      </c>
      <c r="D658" s="6" t="n">
        <v>101.620960342543</v>
      </c>
      <c r="E658" s="6" t="n">
        <v>95.3422926233307</v>
      </c>
    </row>
    <row r="659">
      <c r="A659" s="12" t="n">
        <v>45841</v>
      </c>
      <c r="B659" s="6" t="n">
        <v>93.8633390192604</v>
      </c>
      <c r="C659" s="6" t="n">
        <v>104.745733795328</v>
      </c>
      <c r="D659" s="6" t="n">
        <v>102.008359669691</v>
      </c>
      <c r="E659" s="6" t="n">
        <v>95.333024392299</v>
      </c>
    </row>
    <row r="660">
      <c r="A660" s="12" t="n">
        <v>45842</v>
      </c>
      <c r="B660" s="6" t="n">
        <v>93.8177963996489</v>
      </c>
      <c r="C660" s="6" t="n">
        <v>105.621519300996</v>
      </c>
      <c r="D660" s="6" t="n">
        <v>101.967580793149</v>
      </c>
      <c r="E660" s="6" t="n">
        <v>95.3793655474576</v>
      </c>
    </row>
    <row r="661">
      <c r="A661" s="12" t="n">
        <v>45845</v>
      </c>
      <c r="B661" s="6" t="n">
        <v>94.1548117847739</v>
      </c>
      <c r="C661" s="6" t="n">
        <v>105.264055829295</v>
      </c>
      <c r="D661" s="6" t="n">
        <v>101.641349780814</v>
      </c>
      <c r="E661" s="6" t="n">
        <v>95.5739983991237</v>
      </c>
    </row>
    <row r="662">
      <c r="A662" s="12" t="n">
        <v>45846</v>
      </c>
      <c r="B662" s="6" t="n">
        <v>94.191245880463</v>
      </c>
      <c r="C662" s="6" t="n">
        <v>105.791314450055</v>
      </c>
      <c r="D662" s="6" t="n">
        <v>101.631155061678</v>
      </c>
      <c r="E662" s="6" t="n">
        <v>95.666680709441</v>
      </c>
    </row>
    <row r="663">
      <c r="A663" s="12" t="n">
        <v>45847</v>
      </c>
      <c r="B663" s="6" t="n">
        <v>94.2732225957637</v>
      </c>
      <c r="C663" s="6" t="n">
        <v>106.184524268926</v>
      </c>
      <c r="D663" s="6" t="n">
        <v>101.345702925884</v>
      </c>
      <c r="E663" s="6" t="n">
        <v>95.731558326663</v>
      </c>
    </row>
    <row r="664">
      <c r="A664" s="12" t="n">
        <v>45848</v>
      </c>
      <c r="B664" s="6" t="n">
        <v>94.2641140718414</v>
      </c>
      <c r="C664" s="6" t="n">
        <v>105.835997384017</v>
      </c>
      <c r="D664" s="6" t="n">
        <v>101.447650117239</v>
      </c>
      <c r="E664" s="6" t="n">
        <v>95.7408265576947</v>
      </c>
    </row>
    <row r="665">
      <c r="A665" s="12" t="n">
        <v>45849</v>
      </c>
      <c r="B665" s="6" t="n">
        <v>94.4007419306759</v>
      </c>
      <c r="C665" s="6" t="n">
        <v>105.398104631183</v>
      </c>
      <c r="D665" s="6" t="n">
        <v>101.417065959833</v>
      </c>
      <c r="E665" s="6" t="n">
        <v>95.9632641024561</v>
      </c>
    </row>
    <row r="666">
      <c r="A666" s="12" t="n">
        <v>45852</v>
      </c>
      <c r="B666" s="6" t="n">
        <v>94.3825248828313</v>
      </c>
      <c r="C666" s="6" t="n">
        <v>105.719821755714</v>
      </c>
      <c r="D666" s="6" t="n">
        <v>101.620960342543</v>
      </c>
      <c r="E666" s="6" t="n">
        <v>96.0466781817416</v>
      </c>
    </row>
    <row r="667">
      <c r="A667" s="12" t="n">
        <v>45853</v>
      </c>
      <c r="B667" s="6" t="n">
        <v>94.528261265588</v>
      </c>
      <c r="C667" s="6" t="n">
        <v>105.675138821752</v>
      </c>
      <c r="D667" s="6" t="n">
        <v>101.549597308594</v>
      </c>
      <c r="E667" s="6" t="n">
        <v>96.1300922610271</v>
      </c>
    </row>
    <row r="668">
      <c r="A668" s="12" t="n">
        <v>45854</v>
      </c>
      <c r="B668" s="6" t="n">
        <v>94.8561681267907</v>
      </c>
      <c r="C668" s="6" t="n">
        <v>105.219372895332</v>
      </c>
      <c r="D668" s="6" t="n">
        <v>101.457844836375</v>
      </c>
      <c r="E668" s="6" t="n">
        <v>96.333993343725</v>
      </c>
    </row>
    <row r="669">
      <c r="A669" s="12" t="n">
        <v>45855</v>
      </c>
      <c r="B669" s="6" t="n">
        <v>94.9563618899359</v>
      </c>
      <c r="C669" s="6" t="n">
        <v>105.290865589673</v>
      </c>
      <c r="D669" s="6" t="n">
        <v>101.213171577123</v>
      </c>
      <c r="E669" s="6" t="n">
        <v>96.4266756540422</v>
      </c>
    </row>
    <row r="670">
      <c r="A670" s="12" t="n">
        <v>45856</v>
      </c>
      <c r="B670" s="6" t="n">
        <v>94.6466720765778</v>
      </c>
      <c r="C670" s="6" t="n">
        <v>105.648329061374</v>
      </c>
      <c r="D670" s="6" t="n">
        <v>101.396676521562</v>
      </c>
      <c r="E670" s="6" t="n">
        <v>96.1949698782492</v>
      </c>
    </row>
    <row r="671">
      <c r="A671" s="12" t="n">
        <v>45859</v>
      </c>
      <c r="B671" s="6" t="n">
        <v>94.5100442177434</v>
      </c>
      <c r="C671" s="6" t="n">
        <v>105.898553491565</v>
      </c>
      <c r="D671" s="6" t="n">
        <v>101.447650117239</v>
      </c>
      <c r="E671" s="6" t="n">
        <v>96.065214643805</v>
      </c>
    </row>
    <row r="672">
      <c r="A672" s="12" t="n">
        <v>45860</v>
      </c>
      <c r="B672" s="6" t="n">
        <v>94.3916334067536</v>
      </c>
      <c r="C672" s="6" t="n">
        <v>105.889616904773</v>
      </c>
      <c r="D672" s="6" t="n">
        <v>101.651544499949</v>
      </c>
      <c r="E672" s="6" t="n">
        <v>95.9818005645195</v>
      </c>
    </row>
    <row r="673">
      <c r="A673" s="12" t="n">
        <v>45861</v>
      </c>
      <c r="B673" s="6" t="n">
        <v>94.1183776890847</v>
      </c>
      <c r="C673" s="6" t="n">
        <v>105.728758342507</v>
      </c>
      <c r="D673" s="6" t="n">
        <v>102.202059333265</v>
      </c>
      <c r="E673" s="6" t="n">
        <v>95.9076547162658</v>
      </c>
    </row>
    <row r="674">
      <c r="A674" s="12" t="n">
        <v>45862</v>
      </c>
      <c r="B674" s="6" t="n">
        <v>94.0090754020171</v>
      </c>
      <c r="C674" s="6" t="n">
        <v>106.229207202889</v>
      </c>
      <c r="D674" s="6" t="n">
        <v>101.87582832093</v>
      </c>
      <c r="E674" s="6" t="n">
        <v>95.8520453300754</v>
      </c>
    </row>
    <row r="675">
      <c r="A675" s="12" t="n">
        <v>45863</v>
      </c>
      <c r="B675" s="6" t="n">
        <v>94.2914396436083</v>
      </c>
      <c r="C675" s="6" t="n">
        <v>106.390065765155</v>
      </c>
      <c r="D675" s="6" t="n">
        <v>101.55979202773</v>
      </c>
      <c r="E675" s="6" t="n">
        <v>96.0374099507099</v>
      </c>
    </row>
    <row r="676">
      <c r="A676" s="12" t="n">
        <v>45866</v>
      </c>
      <c r="B676" s="6" t="n">
        <v>94.6011294569664</v>
      </c>
      <c r="C676" s="6" t="n">
        <v>106.157714508549</v>
      </c>
      <c r="D676" s="6" t="n">
        <v>101.35589764502</v>
      </c>
      <c r="E676" s="6" t="n">
        <v>96.2691157265029</v>
      </c>
    </row>
    <row r="677">
      <c r="A677" s="12" t="n">
        <v>45867</v>
      </c>
      <c r="B677" s="6" t="n">
        <v>95.111206796615</v>
      </c>
      <c r="C677" s="6" t="n">
        <v>105.380231457598</v>
      </c>
      <c r="D677" s="6" t="n">
        <v>101.202976857988</v>
      </c>
      <c r="E677" s="6" t="n">
        <v>96.7232590470573</v>
      </c>
    </row>
    <row r="678">
      <c r="A678" s="12" t="n">
        <v>45868</v>
      </c>
      <c r="B678" s="6" t="n">
        <v>95.0929897487704</v>
      </c>
      <c r="C678" s="6" t="n">
        <v>105.693011995337</v>
      </c>
      <c r="D678" s="6" t="n">
        <v>101.050056070955</v>
      </c>
      <c r="E678" s="6" t="n">
        <v>96.6398449677718</v>
      </c>
    </row>
    <row r="679">
      <c r="A679" s="12" t="n">
        <v>45869</v>
      </c>
      <c r="B679" s="6" t="n">
        <v>95.5575244688074</v>
      </c>
      <c r="C679" s="6" t="n">
        <v>105.558963193449</v>
      </c>
      <c r="D679" s="6" t="n">
        <v>100.958303598736</v>
      </c>
      <c r="E679" s="6" t="n">
        <v>97.001305978009</v>
      </c>
    </row>
    <row r="680">
      <c r="A680" s="12" t="n">
        <v>45870</v>
      </c>
      <c r="B680" s="6" t="n">
        <v>95.9036483778547</v>
      </c>
      <c r="C680" s="6" t="n">
        <v>104.987021638726</v>
      </c>
      <c r="D680" s="6" t="n">
        <v>100.846161688246</v>
      </c>
      <c r="E680" s="6" t="n">
        <v>97.001305978009</v>
      </c>
    </row>
    <row r="681">
      <c r="A681" s="12" t="n">
        <v>45873</v>
      </c>
      <c r="B681" s="6" t="n">
        <v>95.0565556530812</v>
      </c>
      <c r="C681" s="6" t="n">
        <v>105.112133853822</v>
      </c>
      <c r="D681" s="6" t="n">
        <v>101.15200326231</v>
      </c>
      <c r="E681" s="6" t="n">
        <v>96.6027720436449</v>
      </c>
    </row>
    <row r="682">
      <c r="A682" s="12" t="n">
        <v>45874</v>
      </c>
      <c r="B682" s="6" t="n">
        <v>95.2022920358379</v>
      </c>
      <c r="C682" s="6" t="n">
        <v>104.915528944386</v>
      </c>
      <c r="D682" s="6" t="n">
        <v>101.090834947497</v>
      </c>
      <c r="E682" s="6" t="n">
        <v>96.5564308884863</v>
      </c>
    </row>
    <row r="683">
      <c r="A683" s="12" t="n">
        <v>45875</v>
      </c>
      <c r="B683" s="6" t="n">
        <v>94.929036318169</v>
      </c>
      <c r="C683" s="6" t="n">
        <v>105.719821755714</v>
      </c>
      <c r="D683" s="6" t="n">
        <v>101.233561015394</v>
      </c>
      <c r="E683" s="6" t="n">
        <v>96.4081391919788</v>
      </c>
    </row>
    <row r="684">
      <c r="A684" s="12" t="n">
        <v>45876</v>
      </c>
      <c r="B684" s="6" t="n">
        <v>94.6648891244224</v>
      </c>
      <c r="C684" s="6" t="n">
        <v>106.166651095341</v>
      </c>
      <c r="D684" s="6" t="n">
        <v>101.233561015394</v>
      </c>
      <c r="E684" s="6" t="n">
        <v>96.2505792644395</v>
      </c>
    </row>
    <row r="685">
      <c r="A685" s="12" t="n">
        <v>45877</v>
      </c>
      <c r="B685" s="6" t="n">
        <v>94.6739976483447</v>
      </c>
      <c r="C685" s="6" t="n">
        <v>106.381129178362</v>
      </c>
      <c r="D685" s="6" t="n">
        <v>101.274339891936</v>
      </c>
      <c r="E685" s="6" t="n">
        <v>96.2413110334078</v>
      </c>
    </row>
    <row r="686">
      <c r="A686" s="12" t="n">
        <v>45880</v>
      </c>
      <c r="B686" s="6" t="n">
        <v>94.7924084593346</v>
      </c>
      <c r="C686" s="6" t="n">
        <v>106.336446244399</v>
      </c>
      <c r="D686" s="6" t="n">
        <v>100.988887756142</v>
      </c>
      <c r="E686" s="6" t="n">
        <v>96.333993343725</v>
      </c>
    </row>
    <row r="687">
      <c r="A687" s="12" t="n">
        <v>45881</v>
      </c>
      <c r="B687" s="6" t="n">
        <v>94.9017107464021</v>
      </c>
      <c r="C687" s="6" t="n">
        <v>106.059412053831</v>
      </c>
      <c r="D687" s="6" t="n">
        <v>100.927719441329</v>
      </c>
      <c r="E687" s="6" t="n">
        <v>96.3988709609471</v>
      </c>
    </row>
    <row r="688">
      <c r="A688" s="12" t="n">
        <v>45882</v>
      </c>
      <c r="B688" s="6" t="n">
        <v>94.373416358909</v>
      </c>
      <c r="C688" s="6" t="n">
        <v>106.55092432742</v>
      </c>
      <c r="D688" s="6" t="n">
        <v>100.958303598736</v>
      </c>
      <c r="E688" s="6" t="n">
        <v>96.0281417196781</v>
      </c>
    </row>
    <row r="689">
      <c r="A689" s="12" t="n">
        <v>45883</v>
      </c>
      <c r="B689" s="6" t="n">
        <v>94.5191527416657</v>
      </c>
      <c r="C689" s="6" t="n">
        <v>105.764504689677</v>
      </c>
      <c r="D689" s="6" t="n">
        <v>100.846161688246</v>
      </c>
      <c r="E689" s="6" t="n">
        <v>96.167165185154</v>
      </c>
    </row>
    <row r="690">
      <c r="A690" s="12" t="n">
        <v>45884</v>
      </c>
      <c r="B690" s="6" t="n">
        <v>94.6375635526556</v>
      </c>
      <c r="C690" s="6" t="n">
        <v>105.460660738731</v>
      </c>
      <c r="D690" s="6" t="n">
        <v>100.83596696911</v>
      </c>
      <c r="E690" s="6" t="n">
        <v>96.1393604920588</v>
      </c>
    </row>
    <row r="691">
      <c r="A691" s="12" t="n">
        <v>45887</v>
      </c>
      <c r="B691" s="6" t="n">
        <v>94.7377573158008</v>
      </c>
      <c r="C691" s="6" t="n">
        <v>105.121070440614</v>
      </c>
      <c r="D691" s="6" t="n">
        <v>100.886940564787</v>
      </c>
      <c r="E691" s="6" t="n">
        <v>96.2227745713443</v>
      </c>
    </row>
    <row r="692">
      <c r="A692" s="12" t="n">
        <v>45888</v>
      </c>
      <c r="B692" s="6" t="n">
        <v>94.7559743636454</v>
      </c>
      <c r="C692" s="6" t="n">
        <v>105.219372895332</v>
      </c>
      <c r="D692" s="6" t="n">
        <v>100.754409216026</v>
      </c>
      <c r="E692" s="6" t="n">
        <v>96.2783839575347</v>
      </c>
    </row>
    <row r="693">
      <c r="A693" s="12" t="n">
        <v>45889</v>
      </c>
      <c r="B693" s="6" t="n">
        <v>94.8926022224799</v>
      </c>
      <c r="C693" s="6" t="n">
        <v>105.442787565146</v>
      </c>
      <c r="D693" s="6" t="n">
        <v>100.387399327149</v>
      </c>
      <c r="E693" s="6" t="n">
        <v>96.500821502296</v>
      </c>
    </row>
    <row r="694">
      <c r="A694" s="12" t="n">
        <v>45890</v>
      </c>
      <c r="B694" s="6" t="n">
        <v>94.9836874617028</v>
      </c>
      <c r="C694" s="6" t="n">
        <v>105.594709540619</v>
      </c>
      <c r="D694" s="6" t="n">
        <v>100.275257416658</v>
      </c>
      <c r="E694" s="6" t="n">
        <v>96.6027720436449</v>
      </c>
    </row>
    <row r="695">
      <c r="A695" s="12" t="n">
        <v>45891</v>
      </c>
      <c r="B695" s="6" t="n">
        <v>95.0656641770035</v>
      </c>
      <c r="C695" s="6" t="n">
        <v>105.853870557602</v>
      </c>
      <c r="D695" s="6" t="n">
        <v>100.122336629626</v>
      </c>
      <c r="E695" s="6" t="n">
        <v>96.7047225849939</v>
      </c>
    </row>
    <row r="696">
      <c r="A696" s="12" t="n">
        <v>45894</v>
      </c>
      <c r="B696" s="6" t="n">
        <v>94.5646953612772</v>
      </c>
      <c r="C696" s="6" t="n">
        <v>106.059412053831</v>
      </c>
      <c r="D696" s="6" t="n">
        <v>100.550514833316</v>
      </c>
      <c r="E696" s="6" t="n">
        <v>96.5564308884863</v>
      </c>
    </row>
    <row r="697">
      <c r="A697" s="12" t="n">
        <v>45895</v>
      </c>
      <c r="B697" s="6" t="n">
        <v>94.7013232201116</v>
      </c>
      <c r="C697" s="6" t="n">
        <v>106.139841334964</v>
      </c>
      <c r="D697" s="6" t="n">
        <v>100.468957080232</v>
      </c>
      <c r="E697" s="6" t="n">
        <v>96.7325272780891</v>
      </c>
    </row>
    <row r="698">
      <c r="A698" s="12" t="n">
        <v>45896</v>
      </c>
      <c r="B698" s="6" t="n">
        <v>94.9745789377805</v>
      </c>
      <c r="C698" s="6" t="n">
        <v>105.764504689677</v>
      </c>
      <c r="D698" s="6" t="n">
        <v>100.560709552452</v>
      </c>
      <c r="E698" s="6" t="n">
        <v>96.9456965918187</v>
      </c>
    </row>
    <row r="699">
      <c r="A699" s="12" t="n">
        <v>45897</v>
      </c>
      <c r="B699" s="6" t="n">
        <v>94.4189589785205</v>
      </c>
      <c r="C699" s="6" t="n">
        <v>106.166651095341</v>
      </c>
      <c r="D699" s="6" t="n">
        <v>100.999082475278</v>
      </c>
      <c r="E699" s="6" t="n">
        <v>96.8993554366601</v>
      </c>
    </row>
    <row r="700">
      <c r="A700" s="12" t="n">
        <v>45898</v>
      </c>
      <c r="B700" s="6" t="n">
        <v>94.6011294569664</v>
      </c>
      <c r="C700" s="6" t="n">
        <v>105.746631516092</v>
      </c>
      <c r="D700" s="6" t="n">
        <v>101.121419104904</v>
      </c>
      <c r="E700" s="6" t="n">
        <v>97.0569153641994</v>
      </c>
    </row>
    <row r="701">
      <c r="A701" s="12" t="n">
        <v>45901</v>
      </c>
      <c r="B701" s="6" t="n">
        <v>94.4189589785205</v>
      </c>
      <c r="C701" s="6" t="n">
        <v>106.175587682134</v>
      </c>
      <c r="D701" s="6" t="n">
        <v>101.060250790091</v>
      </c>
      <c r="E701" s="6" t="n">
        <v>96.8808189745966</v>
      </c>
    </row>
    <row r="702">
      <c r="A702" s="12" t="n">
        <v>45902</v>
      </c>
      <c r="B702" s="6" t="n">
        <v>94.865276650713</v>
      </c>
      <c r="C702" s="6" t="n">
        <v>105.38916804439</v>
      </c>
      <c r="D702" s="6" t="n">
        <v>100.978693037007</v>
      </c>
      <c r="E702" s="6" t="n">
        <v>97.1495976745166</v>
      </c>
    </row>
    <row r="703">
      <c r="A703" s="12" t="n">
        <v>45903</v>
      </c>
      <c r="B703" s="6" t="n">
        <v>94.7650828875677</v>
      </c>
      <c r="C703" s="6" t="n">
        <v>105.782377863262</v>
      </c>
      <c r="D703" s="6" t="n">
        <v>100.846161688246</v>
      </c>
      <c r="E703" s="6" t="n">
        <v>97.0291106711042</v>
      </c>
    </row>
    <row r="704">
      <c r="A704" s="12" t="n">
        <v>45904</v>
      </c>
      <c r="B704" s="6" t="n">
        <v>94.8197340311015</v>
      </c>
      <c r="C704" s="6" t="n">
        <v>105.415977804768</v>
      </c>
      <c r="D704" s="6" t="n">
        <v>100.713630339484</v>
      </c>
      <c r="E704" s="6" t="n">
        <v>97.1310612124531</v>
      </c>
    </row>
    <row r="705">
      <c r="A705" s="12" t="n">
        <v>45905</v>
      </c>
      <c r="B705" s="6" t="n">
        <v>94.5829124091218</v>
      </c>
      <c r="C705" s="6" t="n">
        <v>105.80918762364</v>
      </c>
      <c r="D705" s="6" t="n">
        <v>100.764603935162</v>
      </c>
      <c r="E705" s="6" t="n">
        <v>96.9456965918187</v>
      </c>
    </row>
    <row r="706">
      <c r="A706" s="12" t="n">
        <v>45908</v>
      </c>
      <c r="B706" s="6" t="n">
        <v>94.4189589785205</v>
      </c>
      <c r="C706" s="6" t="n">
        <v>105.84493397081</v>
      </c>
      <c r="D706" s="6" t="n">
        <v>100.611683148129</v>
      </c>
      <c r="E706" s="6" t="n">
        <v>96.8715507435649</v>
      </c>
    </row>
    <row r="707">
      <c r="A707" s="12" t="n">
        <v>45909</v>
      </c>
      <c r="B707" s="6" t="n">
        <v>94.282331119686</v>
      </c>
      <c r="C707" s="6" t="n">
        <v>105.970046185905</v>
      </c>
      <c r="D707" s="6" t="n">
        <v>100.489346518503</v>
      </c>
      <c r="E707" s="6" t="n">
        <v>96.8252095884063</v>
      </c>
    </row>
    <row r="708">
      <c r="A708" s="12" t="n">
        <v>45910</v>
      </c>
      <c r="B708" s="6" t="n">
        <v>94.4462845502873</v>
      </c>
      <c r="C708" s="6" t="n">
        <v>106.041538880246</v>
      </c>
      <c r="D708" s="6" t="n">
        <v>100.214089101845</v>
      </c>
      <c r="E708" s="6" t="n">
        <v>96.9920377469773</v>
      </c>
    </row>
    <row r="709">
      <c r="A709" s="12" t="n">
        <v>45911</v>
      </c>
      <c r="B709" s="6" t="n">
        <v>94.5738038851995</v>
      </c>
      <c r="C709" s="6" t="n">
        <v>106.032602293453</v>
      </c>
      <c r="D709" s="6" t="n">
        <v>100.101947191355</v>
      </c>
      <c r="E709" s="6" t="n">
        <v>97.1310612124531</v>
      </c>
    </row>
    <row r="710">
      <c r="A710" s="12" t="n">
        <v>45912</v>
      </c>
      <c r="B710" s="6" t="n">
        <v>94.3460907871421</v>
      </c>
      <c r="C710" s="6" t="n">
        <v>106.836895104781</v>
      </c>
      <c r="D710" s="6" t="n">
        <v>100.254867978387</v>
      </c>
      <c r="E710" s="6" t="n">
        <v>97.0291106711042</v>
      </c>
    </row>
    <row r="711">
      <c r="A711" s="12" t="n">
        <v>45915</v>
      </c>
      <c r="B711" s="6" t="n">
        <v>94.1092691651624</v>
      </c>
      <c r="C711" s="6" t="n">
        <v>107.14967564252</v>
      </c>
      <c r="D711" s="6" t="n">
        <v>100.336425731471</v>
      </c>
      <c r="E711" s="6" t="n">
        <v>96.8066731263428</v>
      </c>
    </row>
    <row r="712">
      <c r="A712" s="12" t="n">
        <v>45916</v>
      </c>
      <c r="B712" s="6" t="n">
        <v>93.8269049235712</v>
      </c>
      <c r="C712" s="6" t="n">
        <v>107.399900072711</v>
      </c>
      <c r="D712" s="6" t="n">
        <v>100.754409216026</v>
      </c>
      <c r="E712" s="6" t="n">
        <v>96.6120402746767</v>
      </c>
    </row>
    <row r="713">
      <c r="A713" s="12" t="n">
        <v>45917</v>
      </c>
      <c r="B713" s="6" t="n">
        <v>93.6538429690476</v>
      </c>
      <c r="C713" s="6" t="n">
        <v>107.632251329317</v>
      </c>
      <c r="D713" s="6" t="n">
        <v>100.621877867265</v>
      </c>
      <c r="E713" s="6" t="n">
        <v>96.5935038126132</v>
      </c>
    </row>
    <row r="714">
      <c r="A714" s="12" t="n">
        <v>45918</v>
      </c>
      <c r="B714" s="6" t="n">
        <v>93.7722537800374</v>
      </c>
      <c r="C714" s="6" t="n">
        <v>108.096953842529</v>
      </c>
      <c r="D714" s="6" t="n">
        <v>100.479151799368</v>
      </c>
      <c r="E714" s="6" t="n">
        <v>96.8066731263428</v>
      </c>
    </row>
    <row r="715">
      <c r="A715" s="12" t="n">
        <v>45919</v>
      </c>
      <c r="B715" s="6" t="n">
        <v>94.2458970239968</v>
      </c>
      <c r="C715" s="6" t="n">
        <v>107.140739055728</v>
      </c>
      <c r="D715" s="6" t="n">
        <v>100.458762361097</v>
      </c>
      <c r="E715" s="6" t="n">
        <v>97.103256519358</v>
      </c>
    </row>
    <row r="716">
      <c r="A716" s="12" t="n">
        <v>45922</v>
      </c>
      <c r="B716" s="6" t="n">
        <v>94.0910521173178</v>
      </c>
      <c r="C716" s="6" t="n">
        <v>107.256914684031</v>
      </c>
      <c r="D716" s="6" t="n">
        <v>100.40778876542</v>
      </c>
      <c r="E716" s="6" t="n">
        <v>96.9642330538821</v>
      </c>
    </row>
    <row r="717">
      <c r="A717" s="12" t="n">
        <v>45923</v>
      </c>
      <c r="B717" s="6" t="n">
        <v>94.0546180216286</v>
      </c>
      <c r="C717" s="6" t="n">
        <v>107.56969522177</v>
      </c>
      <c r="D717" s="6" t="n">
        <v>100.265062697523</v>
      </c>
      <c r="E717" s="6" t="n">
        <v>96.9920377469773</v>
      </c>
    </row>
    <row r="718">
      <c r="A718" s="12" t="n">
        <v>45924</v>
      </c>
      <c r="B718" s="6" t="n">
        <v>94.3005481675306</v>
      </c>
      <c r="C718" s="6" t="n">
        <v>107.310534204786</v>
      </c>
      <c r="D718" s="6" t="n">
        <v>100.091752472219</v>
      </c>
      <c r="E718" s="6" t="n">
        <v>96.9827695159456</v>
      </c>
    </row>
    <row r="719">
      <c r="A719" s="12" t="n">
        <v>45925</v>
      </c>
      <c r="B719" s="6" t="n">
        <v>94.4462845502873</v>
      </c>
      <c r="C719" s="6" t="n">
        <v>107.140739055728</v>
      </c>
      <c r="D719" s="6" t="n">
        <v>99.959221123458</v>
      </c>
      <c r="E719" s="6" t="n">
        <v>97.2052070607069</v>
      </c>
    </row>
    <row r="720">
      <c r="A720" s="12" t="n">
        <v>45926</v>
      </c>
      <c r="B720" s="6" t="n">
        <v>94.7832999354123</v>
      </c>
      <c r="C720" s="6" t="n">
        <v>107.087119534973</v>
      </c>
      <c r="D720" s="6" t="n">
        <v>99.7247425833418</v>
      </c>
      <c r="E720" s="6" t="n">
        <v>97.3534987572145</v>
      </c>
    </row>
    <row r="721">
      <c r="A721" s="12" t="n">
        <v>45929</v>
      </c>
      <c r="B721" s="6" t="n">
        <v>94.4189589785205</v>
      </c>
      <c r="C721" s="6" t="n">
        <v>107.78417330479</v>
      </c>
      <c r="D721" s="6" t="n">
        <v>99.6635742685289</v>
      </c>
      <c r="E721" s="6" t="n">
        <v>97.2608164468973</v>
      </c>
    </row>
    <row r="722">
      <c r="A722" s="12" t="n">
        <v>45930</v>
      </c>
      <c r="B722" s="6" t="n">
        <v>94.3369822632198</v>
      </c>
      <c r="C722" s="6" t="n">
        <v>107.739490370828</v>
      </c>
      <c r="D722" s="6" t="n">
        <v>99.7043531450708</v>
      </c>
      <c r="E722" s="6" t="n">
        <v>97.1959388296752</v>
      </c>
    </row>
    <row r="723">
      <c r="A723" s="12" t="n">
        <v>45931</v>
      </c>
      <c r="B723" s="6" t="n">
        <v>94.282331119686</v>
      </c>
      <c r="C723" s="6" t="n">
        <v>108.177383123662</v>
      </c>
      <c r="D723" s="6" t="n">
        <v>99.582016515445</v>
      </c>
      <c r="E723" s="6" t="n">
        <v>97.1403294434849</v>
      </c>
    </row>
    <row r="724">
      <c r="A724" s="12" t="n">
        <v>45932</v>
      </c>
      <c r="B724" s="6" t="n">
        <v>94.2550055479191</v>
      </c>
      <c r="C724" s="6" t="n">
        <v>107.489265940637</v>
      </c>
      <c r="D724" s="6" t="n">
        <v>99.5106534814966</v>
      </c>
      <c r="E724" s="6" t="n">
        <v>96.9920377469773</v>
      </c>
    </row>
    <row r="725">
      <c r="A725" s="12" t="n">
        <v>45933</v>
      </c>
      <c r="B725" s="6" t="n">
        <v>94.3825248828313</v>
      </c>
      <c r="C725" s="6" t="n">
        <v>107.337343965164</v>
      </c>
      <c r="D725" s="6" t="n">
        <v>99.3985115710062</v>
      </c>
      <c r="E725" s="6" t="n">
        <v>97.1217929814214</v>
      </c>
    </row>
    <row r="726">
      <c r="A726" s="12" t="n">
        <v>45936</v>
      </c>
      <c r="B726" s="6" t="n">
        <v>94.6375635526556</v>
      </c>
      <c r="C726" s="6" t="n">
        <v>107.435646419881</v>
      </c>
      <c r="D726" s="6" t="n">
        <v>99.5514323580385</v>
      </c>
      <c r="E726" s="6" t="n">
        <v>97.5203269157855</v>
      </c>
    </row>
    <row r="727">
      <c r="A727" s="12" t="n">
        <v>45937</v>
      </c>
      <c r="B727" s="6" t="n">
        <v>94.6648891244224</v>
      </c>
      <c r="C727" s="6" t="n">
        <v>107.766300131205</v>
      </c>
      <c r="D727" s="6" t="n">
        <v>99.622795391987</v>
      </c>
      <c r="E727" s="6" t="n">
        <v>97.6408139191979</v>
      </c>
    </row>
    <row r="728">
      <c r="A728" s="12" t="n">
        <v>45938</v>
      </c>
      <c r="B728" s="6" t="n">
        <v>94.8561681267907</v>
      </c>
      <c r="C728" s="6" t="n">
        <v>107.74842695762</v>
      </c>
      <c r="D728" s="6" t="n">
        <v>99.8164950555612</v>
      </c>
      <c r="E728" s="6" t="n">
        <v>97.937397312213</v>
      </c>
    </row>
    <row r="729">
      <c r="A729" s="12" t="n">
        <v>45939</v>
      </c>
      <c r="B729" s="6" t="n">
        <v>94.8288425550238</v>
      </c>
      <c r="C729" s="6" t="n">
        <v>108.186319710455</v>
      </c>
      <c r="D729" s="6" t="n">
        <v>99.7451320216128</v>
      </c>
      <c r="E729" s="6" t="n">
        <v>97.8725196949909</v>
      </c>
    </row>
    <row r="730">
      <c r="A730" s="12" t="n">
        <v>45940</v>
      </c>
      <c r="B730" s="6" t="n">
        <v>95.0565556530812</v>
      </c>
      <c r="C730" s="6" t="n">
        <v>107.936095280264</v>
      </c>
      <c r="D730" s="6" t="n">
        <v>99.3373432561933</v>
      </c>
      <c r="E730" s="6" t="n">
        <v>98.0393478535619</v>
      </c>
    </row>
    <row r="731">
      <c r="A731" s="12" t="n">
        <v>45943</v>
      </c>
      <c r="B731" s="6" t="n">
        <v>95.174966464071</v>
      </c>
      <c r="C731" s="6" t="n">
        <v>107.18542198969</v>
      </c>
      <c r="D731" s="6" t="n">
        <v>99.4596798858191</v>
      </c>
      <c r="E731" s="6" t="n">
        <v>97.937397312213</v>
      </c>
    </row>
    <row r="732">
      <c r="A732" s="12" t="n">
        <v>45944</v>
      </c>
      <c r="B732" s="6" t="n">
        <v>95.420896609973</v>
      </c>
      <c r="C732" s="6" t="n">
        <v>106.747529236856</v>
      </c>
      <c r="D732" s="6" t="n">
        <v>99.16403303089</v>
      </c>
      <c r="E732" s="6" t="n">
        <v>98.0300796225302</v>
      </c>
    </row>
    <row r="733">
      <c r="A733" s="12" t="n">
        <v>45945</v>
      </c>
      <c r="B733" s="6" t="n">
        <v>94.9836874617028</v>
      </c>
      <c r="C733" s="6" t="n">
        <v>107.399900072711</v>
      </c>
      <c r="D733" s="6" t="n">
        <v>99.1028647160771</v>
      </c>
      <c r="E733" s="6" t="n">
        <v>97.7891056157055</v>
      </c>
    </row>
    <row r="734">
      <c r="A734" s="12" t="n">
        <v>45946</v>
      </c>
      <c r="B734" s="6" t="n">
        <v>94.8743851746353</v>
      </c>
      <c r="C734" s="6" t="n">
        <v>107.453519593467</v>
      </c>
      <c r="D734" s="6" t="n">
        <v>98.9907228055867</v>
      </c>
      <c r="E734" s="6" t="n">
        <v>97.6500821502296</v>
      </c>
    </row>
    <row r="735">
      <c r="A735" s="12" t="n">
        <v>45947</v>
      </c>
      <c r="B735" s="6" t="n">
        <v>94.7559743636454</v>
      </c>
      <c r="C735" s="6" t="n">
        <v>107.542885461392</v>
      </c>
      <c r="D735" s="6" t="n">
        <v>99.0620858395351</v>
      </c>
      <c r="E735" s="6" t="n">
        <v>97.5944727640393</v>
      </c>
    </row>
    <row r="736">
      <c r="A736" s="12" t="n">
        <v>45950</v>
      </c>
      <c r="B736" s="6" t="n">
        <v>94.8015169832569</v>
      </c>
      <c r="C736" s="6" t="n">
        <v>107.685870850073</v>
      </c>
      <c r="D736" s="6" t="n">
        <v>99.0213069629932</v>
      </c>
      <c r="E736" s="6" t="n">
        <v>97.6500821502296</v>
      </c>
    </row>
    <row r="737">
      <c r="A737" s="12" t="n">
        <v>45951</v>
      </c>
      <c r="B737" s="6" t="n">
        <v>95.0110130334697</v>
      </c>
      <c r="C737" s="6" t="n">
        <v>107.525012287807</v>
      </c>
      <c r="D737" s="6" t="n">
        <v>99.1130594352126</v>
      </c>
      <c r="E737" s="6" t="n">
        <v>98.0393478535619</v>
      </c>
    </row>
    <row r="738">
      <c r="A738" s="12" t="n">
        <v>45952</v>
      </c>
      <c r="B738" s="6" t="n">
        <v>95.0565556530812</v>
      </c>
      <c r="C738" s="6" t="n">
        <v>107.775236717998</v>
      </c>
      <c r="D738" s="6" t="n">
        <v>99.2659802222449</v>
      </c>
      <c r="E738" s="6" t="n">
        <v>98.0022749294351</v>
      </c>
    </row>
    <row r="739">
      <c r="A739" s="12" t="n">
        <v>45953</v>
      </c>
      <c r="B739" s="6" t="n">
        <v>95.0747727009258</v>
      </c>
      <c r="C739" s="6" t="n">
        <v>107.694807436865</v>
      </c>
      <c r="D739" s="6" t="n">
        <v>99.541237638903</v>
      </c>
      <c r="E739" s="6" t="n">
        <v>98.1320301638792</v>
      </c>
    </row>
    <row r="740">
      <c r="A740" s="12" t="n">
        <v>45954</v>
      </c>
      <c r="B740" s="6" t="n">
        <v>95.0565556530812</v>
      </c>
      <c r="C740" s="6" t="n">
        <v>107.766300131205</v>
      </c>
      <c r="D740" s="6" t="n">
        <v>99.2761749413804</v>
      </c>
      <c r="E740" s="6" t="n">
        <v>98.1227619328475</v>
      </c>
    </row>
    <row r="741">
      <c r="A741" s="12" t="n">
        <v>45957</v>
      </c>
      <c r="B741" s="6" t="n">
        <v>94.8470596028684</v>
      </c>
      <c r="C741" s="6" t="n">
        <v>107.703744023658</v>
      </c>
      <c r="D741" s="6" t="n">
        <v>99.4902640432256</v>
      </c>
      <c r="E741" s="6" t="n">
        <v>98.1320301638792</v>
      </c>
    </row>
    <row r="742">
      <c r="A742" s="12" t="n">
        <v>45958</v>
      </c>
      <c r="B742" s="6" t="n">
        <v>94.8834936985576</v>
      </c>
      <c r="C742" s="6" t="n">
        <v>107.399900072711</v>
      </c>
      <c r="D742" s="6" t="n">
        <v>99.3679274135998</v>
      </c>
      <c r="E742" s="6" t="n">
        <v>98.1969077811012</v>
      </c>
    </row>
    <row r="743">
      <c r="A743" s="12" t="n">
        <v>45959</v>
      </c>
      <c r="B743" s="6" t="n">
        <v>94.7559743636454</v>
      </c>
      <c r="C743" s="6" t="n">
        <v>107.319470791578</v>
      </c>
      <c r="D743" s="6" t="n">
        <v>99.8572739321032</v>
      </c>
      <c r="E743" s="6" t="n">
        <v>98.0764207776888</v>
      </c>
    </row>
    <row r="744">
      <c r="A744" s="12" t="n">
        <v>45960</v>
      </c>
      <c r="B744" s="6" t="n">
        <v>95.3480284185946</v>
      </c>
      <c r="C744" s="6" t="n">
        <v>106.711782889686</v>
      </c>
      <c r="D744" s="6" t="n">
        <v>99.5514323580385</v>
      </c>
      <c r="E744" s="6" t="n">
        <v>98.4656864810212</v>
      </c>
    </row>
    <row r="745">
      <c r="A745" s="12" t="n">
        <v>45961</v>
      </c>
      <c r="B745" s="6" t="n">
        <v>95.2933772750609</v>
      </c>
      <c r="C745" s="6" t="n">
        <v>106.988817080255</v>
      </c>
      <c r="D745" s="6" t="n">
        <v>99.3883168518707</v>
      </c>
      <c r="E745" s="6" t="n">
        <v>98.3637359396722</v>
      </c>
    </row>
    <row r="746">
      <c r="A746" s="12" t="n">
        <v>45964</v>
      </c>
      <c r="B746" s="6" t="n">
        <v>95.3844625142838</v>
      </c>
      <c r="C746" s="6" t="n">
        <v>107.283724444408</v>
      </c>
      <c r="D746" s="6" t="n">
        <v>99.3169538179223</v>
      </c>
      <c r="E746" s="6" t="n">
        <v>98.437881787926</v>
      </c>
    </row>
    <row r="747">
      <c r="A747" s="12" t="n">
        <v>45965</v>
      </c>
      <c r="B747" s="6" t="n">
        <v>95.5848500405743</v>
      </c>
      <c r="C747" s="6" t="n">
        <v>106.702846302893</v>
      </c>
      <c r="D747" s="6" t="n">
        <v>99.143643592619</v>
      </c>
      <c r="E747" s="6" t="n">
        <v>98.5027594051481</v>
      </c>
    </row>
    <row r="748">
      <c r="A748" s="12" t="n">
        <v>45966</v>
      </c>
      <c r="B748" s="6" t="n">
        <v>95.6759352797973</v>
      </c>
      <c r="C748" s="6" t="n">
        <v>106.577734087798</v>
      </c>
      <c r="D748" s="6" t="n">
        <v>98.8174125802834</v>
      </c>
      <c r="E748" s="6" t="n">
        <v>98.5491005603067</v>
      </c>
    </row>
    <row r="749">
      <c r="A749" s="12" t="n">
        <v>45967</v>
      </c>
      <c r="B749" s="6" t="n">
        <v>95.4482221817399</v>
      </c>
      <c r="C749" s="6" t="n">
        <v>106.908387799122</v>
      </c>
      <c r="D749" s="6" t="n">
        <v>98.9907228055867</v>
      </c>
      <c r="E749" s="6" t="n">
        <v>98.5027594051481</v>
      </c>
    </row>
    <row r="750">
      <c r="A750" s="12" t="n">
        <v>45968</v>
      </c>
      <c r="B750" s="6" t="n">
        <v>95.4300051338953</v>
      </c>
      <c r="C750" s="6" t="n">
        <v>106.97094390667</v>
      </c>
      <c r="D750" s="6" t="n">
        <v>98.8479967376899</v>
      </c>
      <c r="E750" s="6" t="n">
        <v>98.4934911741164</v>
      </c>
    </row>
    <row r="751">
      <c r="A751" s="12" t="n">
        <v>45971</v>
      </c>
      <c r="B751" s="6" t="n">
        <v>95.1931835119156</v>
      </c>
      <c r="C751" s="6" t="n">
        <v>107.828856238753</v>
      </c>
      <c r="D751" s="6" t="n">
        <v>99.4698746049546</v>
      </c>
      <c r="E751" s="6" t="n">
        <v>98.4286135568943</v>
      </c>
    </row>
    <row r="752">
      <c r="A752" s="12" t="n">
        <v>45972</v>
      </c>
      <c r="B752" s="6" t="n">
        <v>95.174966464071</v>
      </c>
      <c r="C752" s="6" t="n">
        <v>108.052270908567</v>
      </c>
      <c r="D752" s="6" t="n">
        <v>99.3577326944643</v>
      </c>
      <c r="E752" s="6" t="n">
        <v>98.4749547120529</v>
      </c>
    </row>
    <row r="753">
      <c r="A753" s="12" t="n">
        <v>45973</v>
      </c>
      <c r="B753" s="6" t="n">
        <v>95.111206796615</v>
      </c>
      <c r="C753" s="6" t="n">
        <v>108.552719768949</v>
      </c>
      <c r="D753" s="6" t="n">
        <v>99.4596798858191</v>
      </c>
      <c r="E753" s="6" t="n">
        <v>98.5491005603067</v>
      </c>
    </row>
    <row r="754">
      <c r="A754" s="12" t="n">
        <v>45974</v>
      </c>
      <c r="B754" s="6" t="n">
        <v>94.9199277942467</v>
      </c>
      <c r="C754" s="6" t="n">
        <v>108.508036834986</v>
      </c>
      <c r="D754" s="6" t="n">
        <v>99.3883168518707</v>
      </c>
      <c r="E754" s="6" t="n">
        <v>98.6603193326874</v>
      </c>
    </row>
    <row r="755">
      <c r="A755" s="12" t="n">
        <v>45975</v>
      </c>
      <c r="B755" s="6" t="n">
        <v>94.9108192703244</v>
      </c>
      <c r="C755" s="6" t="n">
        <v>107.828856238753</v>
      </c>
      <c r="D755" s="6" t="n">
        <v>99.2557855031094</v>
      </c>
      <c r="E755" s="6" t="n">
        <v>98.5212958672115</v>
      </c>
    </row>
    <row r="756">
      <c r="A756" s="12" t="n">
        <v>45978</v>
      </c>
      <c r="B756" s="6" t="n">
        <v>95.111206796615</v>
      </c>
      <c r="C756" s="6" t="n">
        <v>108.213129470832</v>
      </c>
      <c r="D756" s="6" t="n">
        <v>99.2557855031094</v>
      </c>
      <c r="E756" s="6" t="n">
        <v>98.6325146395922</v>
      </c>
    </row>
    <row r="757">
      <c r="A757" s="12" t="n">
        <v>45979</v>
      </c>
      <c r="B757" s="6" t="n">
        <v>95.2569431793717</v>
      </c>
      <c r="C757" s="6" t="n">
        <v>107.60544156894</v>
      </c>
      <c r="D757" s="6" t="n">
        <v>99.3781221327352</v>
      </c>
      <c r="E757" s="6" t="n">
        <v>98.6973922568143</v>
      </c>
    </row>
    <row r="758">
      <c r="A758" s="12" t="n">
        <v>45980</v>
      </c>
      <c r="B758" s="6" t="n">
        <v>95.2296176076048</v>
      </c>
      <c r="C758" s="6" t="n">
        <v>108.329305099135</v>
      </c>
      <c r="D758" s="6" t="n">
        <v>99.4800693240901</v>
      </c>
      <c r="E758" s="6" t="n">
        <v>98.7900745671315</v>
      </c>
    </row>
    <row r="759">
      <c r="A759" s="12" t="n">
        <v>45981</v>
      </c>
      <c r="B759" s="6" t="n">
        <v>95.5393074209629</v>
      </c>
      <c r="C759" s="6" t="n">
        <v>108.222066057625</v>
      </c>
      <c r="D759" s="6" t="n">
        <v>99.2455907839739</v>
      </c>
      <c r="E759" s="6" t="n">
        <v>99.0681214980832</v>
      </c>
    </row>
    <row r="760">
      <c r="A760" s="12" t="n">
        <v>45982</v>
      </c>
      <c r="B760" s="6" t="n">
        <v>95.6121756123412</v>
      </c>
      <c r="C760" s="6" t="n">
        <v>107.766300131205</v>
      </c>
      <c r="D760" s="6" t="n">
        <v>99.123254154348</v>
      </c>
      <c r="E760" s="6" t="n">
        <v>99.1700720394321</v>
      </c>
    </row>
    <row r="761">
      <c r="A761" s="12" t="n">
        <v>45985</v>
      </c>
      <c r="B761" s="6" t="n">
        <v>95.4573307056622</v>
      </c>
      <c r="C761" s="6" t="n">
        <v>107.998651387811</v>
      </c>
      <c r="D761" s="6" t="n">
        <v>98.9193597716383</v>
      </c>
      <c r="E761" s="6" t="n">
        <v>99.37397312213</v>
      </c>
    </row>
    <row r="762">
      <c r="A762" s="12" t="n">
        <v>45986</v>
      </c>
      <c r="B762" s="6" t="n">
        <v>95.4117880860507</v>
      </c>
      <c r="C762" s="6" t="n">
        <v>107.650124502902</v>
      </c>
      <c r="D762" s="6" t="n">
        <v>98.8174125802834</v>
      </c>
      <c r="E762" s="6" t="n">
        <v>99.2627543497493</v>
      </c>
    </row>
    <row r="763">
      <c r="A763" s="12" t="n">
        <v>45987</v>
      </c>
      <c r="B763" s="6" t="n">
        <v>95.2751602272163</v>
      </c>
      <c r="C763" s="6" t="n">
        <v>108.079080668944</v>
      </c>
      <c r="D763" s="6" t="n">
        <v>98.9295544907738</v>
      </c>
      <c r="E763" s="6" t="n">
        <v>99.2905590428445</v>
      </c>
    </row>
    <row r="764">
      <c r="A764" s="12" t="n">
        <v>45988</v>
      </c>
      <c r="B764" s="6" t="n">
        <v>95.1567494162264</v>
      </c>
      <c r="C764" s="6" t="n">
        <v>108.150573363284</v>
      </c>
      <c r="D764" s="6" t="n">
        <v>99.1946171882964</v>
      </c>
      <c r="E764" s="6" t="n">
        <v>99.0959261911783</v>
      </c>
    </row>
    <row r="765">
      <c r="A765" s="12" t="n">
        <v>45989</v>
      </c>
      <c r="B765" s="6" t="n">
        <v>95.1567494162264</v>
      </c>
      <c r="C765" s="6" t="n">
        <v>108.16844653687</v>
      </c>
      <c r="D765" s="6" t="n">
        <v>99.4189010092772</v>
      </c>
      <c r="E765" s="6" t="n">
        <v>99.2812908118128</v>
      </c>
    </row>
    <row r="766">
      <c r="A766" s="12" t="n">
        <v>45992</v>
      </c>
      <c r="B766" s="6" t="n">
        <v>94.8106255071792</v>
      </c>
      <c r="C766" s="6" t="n">
        <v>108.391861206683</v>
      </c>
      <c r="D766" s="6" t="n">
        <v>99.6533795493934</v>
      </c>
      <c r="E766" s="6" t="n">
        <v>98.9754391877659</v>
      </c>
    </row>
    <row r="767">
      <c r="A767" s="12" t="n">
        <v>45993</v>
      </c>
      <c r="B767" s="6" t="n">
        <v>95.0292300813143</v>
      </c>
      <c r="C767" s="6" t="n">
        <v>108.302495338758</v>
      </c>
      <c r="D767" s="6" t="n">
        <v>99.4290957284127</v>
      </c>
      <c r="E767" s="6" t="n">
        <v>99.2164131945907</v>
      </c>
    </row>
    <row r="768">
      <c r="A768" s="12" t="n">
        <v>45994</v>
      </c>
      <c r="B768" s="6" t="n">
        <v>94.7195402679562</v>
      </c>
      <c r="C768" s="6" t="n">
        <v>108.499100248193</v>
      </c>
      <c r="D768" s="6" t="n">
        <v>99.7247425833418</v>
      </c>
      <c r="E768" s="6" t="n">
        <v>99.040316804988</v>
      </c>
    </row>
    <row r="769">
      <c r="A769" s="12" t="n">
        <v>45995</v>
      </c>
      <c r="B769" s="6" t="n">
        <v>94.7650828875677</v>
      </c>
      <c r="C769" s="6" t="n">
        <v>108.409734380268</v>
      </c>
      <c r="D769" s="6" t="n">
        <v>99.541237638903</v>
      </c>
      <c r="E769" s="6" t="n">
        <v>98.9290980326073</v>
      </c>
    </row>
    <row r="770">
      <c r="A770" s="12" t="n">
        <v>45996</v>
      </c>
      <c r="B770" s="6" t="n">
        <v>94.7195402679562</v>
      </c>
      <c r="C770" s="6" t="n">
        <v>108.856563719895</v>
      </c>
      <c r="D770" s="6" t="n">
        <v>99.7961056172902</v>
      </c>
      <c r="E770" s="6" t="n">
        <v>98.9661709567342</v>
      </c>
    </row>
    <row r="771">
      <c r="A771" s="12" t="n">
        <v>45999</v>
      </c>
      <c r="B771" s="6" t="n">
        <v>94.6193465048109</v>
      </c>
      <c r="C771" s="6" t="n">
        <v>108.883373480272</v>
      </c>
      <c r="D771" s="6" t="n">
        <v>100.744214496891</v>
      </c>
      <c r="E771" s="6" t="n">
        <v>98.9754391877659</v>
      </c>
    </row>
    <row r="772">
      <c r="A772" s="12" t="n">
        <v>46000</v>
      </c>
      <c r="B772" s="6" t="n">
        <v>94.7924084593346</v>
      </c>
      <c r="C772" s="6" t="n">
        <v>108.418670967061</v>
      </c>
      <c r="D772" s="6" t="n">
        <v>100.499541237639</v>
      </c>
      <c r="E772" s="6" t="n">
        <v>99.1793402704638</v>
      </c>
    </row>
    <row r="773">
      <c r="A773" s="12" t="n">
        <v>46001</v>
      </c>
      <c r="B773" s="6" t="n">
        <v>94.7559743636454</v>
      </c>
      <c r="C773" s="6" t="n">
        <v>108.856563719895</v>
      </c>
      <c r="D773" s="6" t="n">
        <v>100.499541237639</v>
      </c>
      <c r="E773" s="6" t="n">
        <v>99.2256814256224</v>
      </c>
    </row>
    <row r="774">
      <c r="A774" s="12" t="n">
        <v>46002</v>
      </c>
      <c r="B774" s="6" t="n">
        <v>94.4827186459765</v>
      </c>
      <c r="C774" s="6" t="n">
        <v>108.87443689348</v>
      </c>
      <c r="D774" s="6" t="n">
        <v>100.703435620349</v>
      </c>
      <c r="E774" s="6" t="n">
        <v>99.0310485739563</v>
      </c>
    </row>
    <row r="775">
      <c r="A775" s="12" t="n">
        <v>46003</v>
      </c>
      <c r="B775" s="6" t="n">
        <v>94.3187652153752</v>
      </c>
      <c r="C775" s="6" t="n">
        <v>109.687666291601</v>
      </c>
      <c r="D775" s="6" t="n">
        <v>100.9481088796</v>
      </c>
      <c r="E775" s="6" t="n">
        <v>99.0588532670514</v>
      </c>
    </row>
    <row r="776">
      <c r="A776" s="12" t="n">
        <v>46006</v>
      </c>
      <c r="B776" s="6" t="n">
        <v>94.1639203086962</v>
      </c>
      <c r="C776" s="6" t="n">
        <v>109.946827308584</v>
      </c>
      <c r="D776" s="6" t="n">
        <v>100.876745845652</v>
      </c>
      <c r="E776" s="6" t="n">
        <v>99.0125121118928</v>
      </c>
    </row>
    <row r="777">
      <c r="A777" s="12" t="n">
        <v>46007</v>
      </c>
      <c r="B777" s="6" t="n">
        <v>94.1092691651624</v>
      </c>
      <c r="C777" s="6" t="n">
        <v>110.045129763302</v>
      </c>
      <c r="D777" s="6" t="n">
        <v>100.815577530839</v>
      </c>
      <c r="E777" s="6" t="n">
        <v>99.0681214980832</v>
      </c>
    </row>
    <row r="778">
      <c r="A778" s="12" t="n">
        <v>46008</v>
      </c>
      <c r="B778" s="6" t="n">
        <v>94.3369822632198</v>
      </c>
      <c r="C778" s="6" t="n">
        <v>110.03619317651</v>
      </c>
      <c r="D778" s="6" t="n">
        <v>100.713630339484</v>
      </c>
      <c r="E778" s="6" t="n">
        <v>99.309095504908</v>
      </c>
    </row>
    <row r="779">
      <c r="A779" s="12" t="n">
        <v>46009</v>
      </c>
      <c r="B779" s="6" t="n">
        <v>94.3460907871421</v>
      </c>
      <c r="C779" s="6" t="n">
        <v>109.937890721792</v>
      </c>
      <c r="D779" s="6" t="n">
        <v>100.713630339484</v>
      </c>
      <c r="E779" s="6" t="n">
        <v>99.37397312213</v>
      </c>
    </row>
    <row r="780">
      <c r="A780" s="12" t="n">
        <v>46010</v>
      </c>
      <c r="B780" s="6" t="n">
        <v>94.4189589785205</v>
      </c>
      <c r="C780" s="6" t="n">
        <v>109.902144374622</v>
      </c>
      <c r="D780" s="6" t="n">
        <v>100.72382505862</v>
      </c>
      <c r="E780" s="6" t="n">
        <v>99.4851918945107</v>
      </c>
    </row>
    <row r="781">
      <c r="A781" s="12" t="n">
        <v>46013</v>
      </c>
      <c r="B781" s="6" t="n">
        <v>94.282331119686</v>
      </c>
      <c r="C781" s="6" t="n">
        <v>109.902144374622</v>
      </c>
      <c r="D781" s="6" t="n">
        <v>100.866551126516</v>
      </c>
      <c r="E781" s="6" t="n">
        <v>99.4295825083204</v>
      </c>
    </row>
    <row r="782">
      <c r="A782" s="12" t="n">
        <v>46014</v>
      </c>
      <c r="B782" s="6" t="n">
        <v>93.9999668780948</v>
      </c>
      <c r="C782" s="6" t="n">
        <v>110.125559044435</v>
      </c>
      <c r="D782" s="6" t="n">
        <v>101.223366296259</v>
      </c>
      <c r="E782" s="6" t="n">
        <v>99.2905590428445</v>
      </c>
    </row>
    <row r="783">
      <c r="A783" s="12" t="n">
        <v>46015</v>
      </c>
      <c r="B783" s="6" t="n">
        <v>93.790470827882</v>
      </c>
      <c r="C783" s="6" t="n">
        <v>110.241734672738</v>
      </c>
      <c r="D783" s="6" t="n">
        <v>101.2641451728</v>
      </c>
      <c r="E783" s="6" t="n">
        <v>99.207144963559</v>
      </c>
    </row>
    <row r="784">
      <c r="A784" s="12" t="n">
        <v>46016</v>
      </c>
      <c r="B784" s="6" t="n">
        <v>93.790470827882</v>
      </c>
      <c r="C784" s="6" t="n">
        <v>110.232798085946</v>
      </c>
      <c r="D784" s="6" t="n">
        <v>101.2641451728</v>
      </c>
      <c r="E784" s="6" t="n">
        <v>99.1978767325273</v>
      </c>
    </row>
    <row r="785">
      <c r="A785" s="12" t="n">
        <v>46017</v>
      </c>
      <c r="B785" s="6" t="n">
        <v>93.7813623039597</v>
      </c>
      <c r="C785" s="6" t="n">
        <v>110.232798085946</v>
      </c>
      <c r="D785" s="6" t="n">
        <v>101.2641451728</v>
      </c>
      <c r="E785" s="6" t="n">
        <v>99.1886085014956</v>
      </c>
    </row>
    <row r="786">
      <c r="A786" s="12" t="n">
        <v>46020</v>
      </c>
      <c r="B786" s="6" t="n">
        <v>93.8633390192604</v>
      </c>
      <c r="C786" s="6" t="n">
        <v>110.07193952368</v>
      </c>
      <c r="D786" s="6" t="n">
        <v>101.253950453665</v>
      </c>
      <c r="E786" s="6" t="n">
        <v>99.3647048910983</v>
      </c>
    </row>
    <row r="787">
      <c r="A787" s="12" t="n">
        <v>46021</v>
      </c>
      <c r="B787" s="6" t="n">
        <v>93.8360134474935</v>
      </c>
      <c r="C787" s="6" t="n">
        <v>109.839588267074</v>
      </c>
      <c r="D787" s="6" t="n">
        <v>101.162197981446</v>
      </c>
      <c r="E787" s="6" t="n">
        <v>99.5500695117327</v>
      </c>
    </row>
    <row r="788">
      <c r="A788" s="12" t="n">
        <v>46022</v>
      </c>
      <c r="B788" s="6" t="n">
        <v>93.9362072106388</v>
      </c>
      <c r="C788" s="6" t="n">
        <v>109.848524853866</v>
      </c>
      <c r="D788" s="6" t="n">
        <v>101.253950453665</v>
      </c>
      <c r="E788" s="6" t="n">
        <v>99.5686059737962</v>
      </c>
    </row>
    <row r="789">
      <c r="A789" s="12" t="n">
        <v>46023</v>
      </c>
      <c r="B789" s="6" t="n">
        <v>93.9362072106388</v>
      </c>
      <c r="C789" s="6" t="n">
        <v>109.848524853866</v>
      </c>
      <c r="D789" s="6" t="n">
        <v>101.253950453665</v>
      </c>
      <c r="E789" s="6" t="n">
        <v>99.5686059737962</v>
      </c>
    </row>
    <row r="790">
      <c r="A790" s="12" t="n">
        <v>46024</v>
      </c>
      <c r="B790" s="6" t="n">
        <v>93.9635327824057</v>
      </c>
      <c r="C790" s="6" t="n">
        <v>110.063002936887</v>
      </c>
      <c r="D790" s="6" t="n">
        <v>100.958303598736</v>
      </c>
      <c r="E790" s="6" t="n">
        <v>99.7261659013355</v>
      </c>
    </row>
    <row r="791">
      <c r="A791" s="12" t="n">
        <v>46027</v>
      </c>
      <c r="B791" s="6" t="n">
        <v>94.1548117847739</v>
      </c>
      <c r="C791" s="6" t="n">
        <v>109.714476051978</v>
      </c>
      <c r="D791" s="6" t="n">
        <v>100.601488428994</v>
      </c>
      <c r="E791" s="6" t="n">
        <v>100.032017525382</v>
      </c>
    </row>
    <row r="792">
      <c r="A792" s="12" t="n">
        <v>46028</v>
      </c>
      <c r="B792" s="6" t="n">
        <v>93.9544242584834</v>
      </c>
      <c r="C792" s="6" t="n">
        <v>109.937890721792</v>
      </c>
      <c r="D792" s="6" t="n">
        <v>100.611683148129</v>
      </c>
      <c r="E792" s="6" t="n">
        <v>99.8466529047479</v>
      </c>
    </row>
    <row r="793">
      <c r="A793" s="12" t="n">
        <v>46029</v>
      </c>
      <c r="B793" s="6" t="n">
        <v>94.0637265455509</v>
      </c>
      <c r="C793" s="6" t="n">
        <v>109.839588267074</v>
      </c>
      <c r="D793" s="6" t="n">
        <v>100.42817820369</v>
      </c>
      <c r="E793" s="6" t="n">
        <v>99.809579980621</v>
      </c>
    </row>
    <row r="794">
      <c r="A794" s="12" t="n">
        <v>46030</v>
      </c>
      <c r="B794" s="6" t="n">
        <v>94.1365947369293</v>
      </c>
      <c r="C794" s="6" t="n">
        <v>109.982573655755</v>
      </c>
      <c r="D794" s="6" t="n">
        <v>100.061168314813</v>
      </c>
      <c r="E794" s="6" t="n">
        <v>100.078358680541</v>
      </c>
    </row>
    <row r="795">
      <c r="A795" s="12" t="n">
        <v>46031</v>
      </c>
      <c r="B795" s="6" t="n">
        <v>94.3369822632198</v>
      </c>
      <c r="C795" s="6" t="n">
        <v>109.687666291601</v>
      </c>
      <c r="D795" s="6" t="n">
        <v>100</v>
      </c>
      <c r="E795" s="6" t="n">
        <v>100.310064456334</v>
      </c>
    </row>
    <row r="796">
      <c r="A796" s="12" t="n">
        <v>46034</v>
      </c>
      <c r="B796" s="6" t="n">
        <v>94.1001606412401</v>
      </c>
      <c r="C796" s="6" t="n">
        <v>110.366846887834</v>
      </c>
      <c r="D796" s="6" t="n">
        <v>99.9694158425935</v>
      </c>
      <c r="E796" s="6" t="n">
        <v>100.310064456334</v>
      </c>
    </row>
    <row r="797">
      <c r="A797" s="12" t="n">
        <v>46035</v>
      </c>
      <c r="B797" s="6" t="n">
        <v>94.2550055479191</v>
      </c>
      <c r="C797" s="6" t="n">
        <v>110.491959102929</v>
      </c>
      <c r="D797" s="6" t="n">
        <v>100.010194719135</v>
      </c>
      <c r="E797" s="6" t="n">
        <v>100.513965539032</v>
      </c>
    </row>
    <row r="798">
      <c r="A798" s="12" t="n">
        <v>46036</v>
      </c>
      <c r="B798" s="6" t="n">
        <v>94.191245880463</v>
      </c>
      <c r="C798" s="6" t="n">
        <v>111.019217723689</v>
      </c>
      <c r="D798" s="6" t="n">
        <v>99.979610561729</v>
      </c>
      <c r="E798" s="6" t="n">
        <v>100.532502001095</v>
      </c>
    </row>
    <row r="799">
      <c r="A799" s="12" t="n">
        <v>46037</v>
      </c>
      <c r="B799" s="6" t="n">
        <v>94.2003544043854</v>
      </c>
      <c r="C799" s="6" t="n">
        <v>111.162203112369</v>
      </c>
      <c r="D799" s="6" t="n">
        <v>99.7859108981548</v>
      </c>
      <c r="E799" s="6" t="n">
        <v>100.606647849349</v>
      </c>
    </row>
    <row r="800">
      <c r="A800" s="12" t="n">
        <v>46038</v>
      </c>
      <c r="B800" s="6" t="n">
        <v>94.127486213007</v>
      </c>
      <c r="C800" s="6" t="n">
        <v>111.895003229357</v>
      </c>
      <c r="D800" s="6" t="n">
        <v>99.8776633703741</v>
      </c>
      <c r="E800" s="6" t="n">
        <v>100.578843156254</v>
      </c>
    </row>
    <row r="801">
      <c r="A801" s="12" t="n">
        <v>46041</v>
      </c>
      <c r="B801" s="6" t="n">
        <v>94.036400973784</v>
      </c>
      <c r="C801" s="6" t="n">
        <v>112.136291072756</v>
      </c>
      <c r="D801" s="6" t="n">
        <v>99.8674686512386</v>
      </c>
      <c r="E801" s="6" t="n">
        <v>100.606647849349</v>
      </c>
    </row>
    <row r="802">
      <c r="A802" s="12" t="n">
        <v>46042</v>
      </c>
      <c r="B802" s="6" t="n">
        <v>93.790470827882</v>
      </c>
      <c r="C802" s="6" t="n">
        <v>112.037988618038</v>
      </c>
      <c r="D802" s="6" t="n">
        <v>100.173310225303</v>
      </c>
      <c r="E802" s="6" t="n">
        <v>100.44908792181</v>
      </c>
    </row>
    <row r="803">
      <c r="A803" s="12" t="n">
        <v>46043</v>
      </c>
      <c r="B803" s="6" t="n">
        <v>93.6174088733584</v>
      </c>
      <c r="C803" s="6" t="n">
        <v>112.931647297292</v>
      </c>
      <c r="D803" s="6" t="n">
        <v>100.346620450607</v>
      </c>
      <c r="E803" s="6" t="n">
        <v>100.23591860808</v>
      </c>
    </row>
    <row r="804">
      <c r="A804" s="12" t="n">
        <v>46044</v>
      </c>
      <c r="B804" s="6" t="n">
        <v>93.7540367321928</v>
      </c>
      <c r="C804" s="6" t="n">
        <v>112.967393644462</v>
      </c>
      <c r="D804" s="6" t="n">
        <v>100.265062697523</v>
      </c>
      <c r="E804" s="6" t="n">
        <v>100.189577452922</v>
      </c>
    </row>
    <row r="805">
      <c r="A805" s="12" t="n">
        <v>46045</v>
      </c>
      <c r="B805" s="6" t="n">
        <v>93.480781014524</v>
      </c>
      <c r="C805" s="6" t="n">
        <v>113.092505859557</v>
      </c>
      <c r="D805" s="6" t="n">
        <v>100.51993067591</v>
      </c>
      <c r="E805" s="6" t="n">
        <v>100.078358680541</v>
      </c>
    </row>
    <row r="806">
      <c r="A806" s="12" t="n">
        <v>46048</v>
      </c>
      <c r="B806" s="6" t="n">
        <v>92.9342695791862</v>
      </c>
      <c r="C806" s="6" t="n">
        <v>113.110379033143</v>
      </c>
      <c r="D806" s="6" t="n">
        <v>100.6320725864</v>
      </c>
      <c r="E806" s="6" t="n">
        <v>99.5037283565741</v>
      </c>
    </row>
    <row r="807">
      <c r="A807" s="12" t="n">
        <v>46049</v>
      </c>
      <c r="B807" s="6" t="n">
        <v>92.5517115744498</v>
      </c>
      <c r="C807" s="6" t="n">
        <v>113.521462025599</v>
      </c>
      <c r="D807" s="6" t="n">
        <v>100.703435620349</v>
      </c>
      <c r="E807" s="6" t="n">
        <v>99.0681214980832</v>
      </c>
    </row>
    <row r="808">
      <c r="A808" s="12" t="n">
        <v>46050</v>
      </c>
      <c r="B808" s="6" t="n">
        <v>92.1509365218687</v>
      </c>
      <c r="C808" s="6" t="n">
        <v>114.281071902965</v>
      </c>
      <c r="D808" s="6" t="n">
        <v>101.386481802426</v>
      </c>
      <c r="E808" s="6" t="n">
        <v>98.8642204153853</v>
      </c>
    </row>
    <row r="809">
      <c r="A809" s="12" t="n">
        <v>46051</v>
      </c>
      <c r="B809" s="6" t="n">
        <v>92.1509365218687</v>
      </c>
      <c r="C809" s="6" t="n">
        <v>114.325754836928</v>
      </c>
      <c r="D809" s="6" t="n">
        <v>101.702518095626</v>
      </c>
      <c r="E809" s="6" t="n">
        <v>98.9476344946708</v>
      </c>
    </row>
    <row r="810">
      <c r="A810" s="12" t="n">
        <v>46052</v>
      </c>
      <c r="B810" s="6" t="n">
        <v>92.4515178113045</v>
      </c>
      <c r="C810" s="6" t="n">
        <v>113.610827893525</v>
      </c>
      <c r="D810" s="6" t="n">
        <v>101.845244163523</v>
      </c>
      <c r="E810" s="6" t="n">
        <v>99.2256814256224</v>
      </c>
    </row>
    <row r="811">
      <c r="A811" s="12" t="n">
        <v>46055</v>
      </c>
      <c r="B811" s="6" t="n">
        <v>92.8887269595747</v>
      </c>
      <c r="C811" s="6" t="n">
        <v>112.958457057669</v>
      </c>
      <c r="D811" s="6" t="n">
        <v>101.111224385768</v>
      </c>
      <c r="E811" s="6" t="n">
        <v>99.7447023633989</v>
      </c>
    </row>
    <row r="812">
      <c r="A812" s="12" t="n">
        <v>46056</v>
      </c>
      <c r="B812" s="6" t="n">
        <v>92.8249672921186</v>
      </c>
      <c r="C812" s="6" t="n">
        <v>113.62870106711</v>
      </c>
      <c r="D812" s="6" t="n">
        <v>101.009277194413</v>
      </c>
      <c r="E812" s="6" t="n">
        <v>99.8373846737161</v>
      </c>
    </row>
    <row r="813">
      <c r="A813" s="12" t="n">
        <v>46057</v>
      </c>
      <c r="B813" s="6" t="n">
        <v>92.8067502442741</v>
      </c>
      <c r="C813" s="6" t="n">
        <v>114.075530406737</v>
      </c>
      <c r="D813" s="6" t="n">
        <v>101.029666632684</v>
      </c>
      <c r="E813" s="6" t="n">
        <v>99.8466529047479</v>
      </c>
    </row>
    <row r="814">
      <c r="A814" s="12" t="n">
        <v>46058</v>
      </c>
      <c r="B814" s="6" t="n">
        <v>93.0708974380207</v>
      </c>
      <c r="C814" s="6" t="n">
        <v>113.244427835031</v>
      </c>
      <c r="D814" s="6" t="n">
        <v>100.917524722194</v>
      </c>
      <c r="E814" s="6" t="n">
        <v>100.133968066731</v>
      </c>
    </row>
    <row r="815">
      <c r="A815" s="12" t="n">
        <v>46059</v>
      </c>
      <c r="B815" s="6" t="n">
        <v>93.0617889140983</v>
      </c>
      <c r="C815" s="6" t="n">
        <v>113.387413223711</v>
      </c>
      <c r="D815" s="6" t="n">
        <v>101.050056070955</v>
      </c>
      <c r="E815" s="6" t="n">
        <v>100.152504528795</v>
      </c>
    </row>
    <row r="816">
      <c r="A816" s="12" t="n">
        <v>46062</v>
      </c>
      <c r="B816" s="6" t="n">
        <v>92.5517115744498</v>
      </c>
      <c r="C816" s="6" t="n">
        <v>114.129149927492</v>
      </c>
      <c r="D816" s="6" t="n">
        <v>101.253950453665</v>
      </c>
      <c r="E816" s="6" t="n">
        <v>99.9300669840334</v>
      </c>
    </row>
    <row r="817">
      <c r="A817" s="12" t="n">
        <v>46063</v>
      </c>
      <c r="B817" s="6" t="n">
        <v>92.4424092873822</v>
      </c>
      <c r="C817" s="6" t="n">
        <v>113.896798670886</v>
      </c>
      <c r="D817" s="6" t="n">
        <v>101.478234274646</v>
      </c>
      <c r="E817" s="6" t="n">
        <v>99.9300669840334</v>
      </c>
    </row>
    <row r="818">
      <c r="A818" s="12" t="n">
        <v>46064</v>
      </c>
      <c r="B818" s="6" t="n">
        <v>92.2784558567809</v>
      </c>
      <c r="C818" s="6" t="n">
        <v>114.012974299189</v>
      </c>
      <c r="D818" s="6" t="n">
        <v>101.46803955551</v>
      </c>
      <c r="E818" s="6" t="n">
        <v>99.7261659013355</v>
      </c>
    </row>
    <row r="819">
      <c r="A819" s="12" t="n">
        <v>46065</v>
      </c>
      <c r="B819" s="6" t="n">
        <v>92.251130285014</v>
      </c>
      <c r="C819" s="6" t="n">
        <v>114.173832861454</v>
      </c>
      <c r="D819" s="6" t="n">
        <v>101.294729330207</v>
      </c>
      <c r="E819" s="6" t="n">
        <v>99.8281164426844</v>
      </c>
    </row>
    <row r="820">
      <c r="A820" s="12" t="n">
        <v>46066</v>
      </c>
      <c r="B820" s="6" t="n">
        <v>92.3968666677707</v>
      </c>
      <c r="C820" s="6" t="n">
        <v>113.941481604848</v>
      </c>
      <c r="D820" s="6" t="n">
        <v>101.03986135182</v>
      </c>
      <c r="E820" s="6" t="n">
        <v>99.8281164426844</v>
      </c>
    </row>
    <row r="821">
      <c r="A821" s="12" t="n">
        <v>46069</v>
      </c>
      <c r="B821" s="6" t="n">
        <v>92.342215524237</v>
      </c>
      <c r="C821" s="6" t="n">
        <v>114.37043777089</v>
      </c>
      <c r="D821" s="6" t="n">
        <v>100.999082475278</v>
      </c>
      <c r="E821" s="6" t="n">
        <v>99.7910435185575</v>
      </c>
    </row>
    <row r="822">
      <c r="A822" s="12" t="n">
        <v>46070</v>
      </c>
      <c r="B822" s="6" t="n">
        <v>92.497060430916</v>
      </c>
      <c r="C822" s="6" t="n">
        <v>114.039784059566</v>
      </c>
      <c r="D822" s="6" t="n">
        <v>100.856356407381</v>
      </c>
      <c r="E822" s="6" t="n">
        <v>99.9115305219699</v>
      </c>
    </row>
    <row r="823">
      <c r="A823" s="12" t="n">
        <v>46071</v>
      </c>
      <c r="B823" s="6" t="n">
        <v>92.3968666677707</v>
      </c>
      <c r="C823" s="6" t="n">
        <v>114.701091482214</v>
      </c>
      <c r="D823" s="6" t="n">
        <v>100.886940564787</v>
      </c>
      <c r="E823" s="6" t="n">
        <v>99.8929940599065</v>
      </c>
    </row>
    <row r="824">
      <c r="A824" s="12" t="n">
        <v>46072</v>
      </c>
      <c r="B824" s="6" t="n">
        <v>92.8522928638855</v>
      </c>
      <c r="C824" s="6" t="n">
        <v>113.798496216168</v>
      </c>
      <c r="D824" s="6" t="n">
        <v>100.652462024671</v>
      </c>
      <c r="E824" s="6" t="n">
        <v>100.310064456334</v>
      </c>
    </row>
    <row r="825">
      <c r="A825" s="12" t="n">
        <v>46073</v>
      </c>
      <c r="B825" s="6" t="n">
        <v>92.7520991007403</v>
      </c>
      <c r="C825" s="6" t="n">
        <v>114.290008489757</v>
      </c>
      <c r="D825" s="6" t="n">
        <v>100.703435620349</v>
      </c>
      <c r="E825" s="6" t="n">
        <v>100.282259763239</v>
      </c>
    </row>
    <row r="826">
      <c r="A826" s="12" t="n">
        <v>46076</v>
      </c>
      <c r="B826" s="6" t="n">
        <v>92.651905337595</v>
      </c>
      <c r="C826" s="6" t="n">
        <v>114.245325555795</v>
      </c>
      <c r="D826" s="6" t="n">
        <v>100.683046182078</v>
      </c>
      <c r="E826" s="6" t="n">
        <v>100.115431604668</v>
      </c>
    </row>
    <row r="827">
      <c r="A827" s="13" t="n">
        <v>46077</v>
      </c>
      <c r="B827" s="9" t="n">
        <v>92.7065564811288</v>
      </c>
      <c r="C827" s="9" t="n">
        <v>113.655510827487</v>
      </c>
      <c r="D827" s="9" t="n">
        <v>100.51993067591</v>
      </c>
      <c r="E827" s="9" t="n">
        <v>100.625184311413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63.71" hidden="0" customWidth="1"/>
    <col min="2" max="2" width="32.71" hidden="0" customWidth="1"/>
    <col min="3" max="3" width="33.71" hidden="0" customWidth="1"/>
    <col min="4" max="4" width="32.71" hidden="0" customWidth="1"/>
    <col min="5" max="5" width="33.71" hidden="0" customWidth="1"/>
    <col min="6" max="6" width="32.71" hidden="0" customWidth="1"/>
    <col min="7" max="7" width="32.71" hidden="0" customWidth="1"/>
  </cols>
  <sheetData>
    <row r="1">
      <c r="A1" s="1" t="s">
        <v>143</v>
      </c>
    </row>
    <row r="2">
      <c r="A2" s="2" t="s">
        <v>144</v>
      </c>
    </row>
    <row r="3">
      <c r="A3" s="2" t="s">
        <v>145</v>
      </c>
    </row>
    <row r="5">
      <c r="A5" s="4" t="s">
        <v>4</v>
      </c>
      <c r="B5" s="4" t="s">
        <v>146</v>
      </c>
      <c r="C5" s="4" t="s">
        <v>147</v>
      </c>
      <c r="D5" s="4" t="s">
        <v>148</v>
      </c>
      <c r="E5" s="4" t="s">
        <v>149</v>
      </c>
      <c r="F5" s="4" t="s">
        <v>150</v>
      </c>
      <c r="G5" s="4" t="s">
        <v>151</v>
      </c>
    </row>
    <row r="6">
      <c r="A6" s="5" t="n">
        <v>44927</v>
      </c>
      <c r="B6" s="6" t="n">
        <v>264392.880446428</v>
      </c>
      <c r="C6" s="6" t="n">
        <v>254891.412902916</v>
      </c>
      <c r="D6" s="6" t="n">
        <v>172485.320888299</v>
      </c>
      <c r="E6" s="6" t="n">
        <v>167244.314155697</v>
      </c>
      <c r="F6" s="6" t="n">
        <v>3.72765305637448</v>
      </c>
      <c r="G6" s="6" t="n">
        <v>3.13374284743808</v>
      </c>
    </row>
    <row r="7">
      <c r="A7" s="5" t="n">
        <v>44958</v>
      </c>
      <c r="B7" s="6" t="n">
        <v>260559.869906938</v>
      </c>
      <c r="C7" s="6" t="n">
        <v>255964.462459882</v>
      </c>
      <c r="D7" s="6" t="n">
        <v>165603.06602887</v>
      </c>
      <c r="E7" s="6" t="n">
        <v>167507.53804548</v>
      </c>
      <c r="F7" s="6" t="n">
        <v>1.795330259089</v>
      </c>
      <c r="G7" s="6" t="n">
        <v>-1.13694705255125</v>
      </c>
    </row>
    <row r="8">
      <c r="A8" s="5" t="n">
        <v>44986</v>
      </c>
      <c r="B8" s="6" t="n">
        <v>257280.656582697</v>
      </c>
      <c r="C8" s="6" t="n">
        <v>256933.668511335</v>
      </c>
      <c r="D8" s="6" t="n">
        <v>170742.118177193</v>
      </c>
      <c r="E8" s="6" t="n">
        <v>167745.288655605</v>
      </c>
      <c r="F8" s="6" t="n">
        <v>0.13504966996849</v>
      </c>
      <c r="G8" s="6" t="n">
        <v>1.78653573260148</v>
      </c>
    </row>
    <row r="9">
      <c r="A9" s="5" t="n">
        <v>45017</v>
      </c>
      <c r="B9" s="6" t="n">
        <v>263692.321236249</v>
      </c>
      <c r="C9" s="6" t="n">
        <v>258006.7180683</v>
      </c>
      <c r="D9" s="6" t="n">
        <v>163485.724116612</v>
      </c>
      <c r="E9" s="6" t="n">
        <v>168008.512545388</v>
      </c>
      <c r="F9" s="6" t="n">
        <v>2.20366477683855</v>
      </c>
      <c r="G9" s="6" t="n">
        <v>-2.69199956612536</v>
      </c>
    </row>
    <row r="10">
      <c r="A10" s="5" t="n">
        <v>45047</v>
      </c>
      <c r="B10" s="6" t="n">
        <v>258363.026295314</v>
      </c>
      <c r="C10" s="6" t="n">
        <v>259045.153123429</v>
      </c>
      <c r="D10" s="6" t="n">
        <v>165755.581372016</v>
      </c>
      <c r="E10" s="6" t="n">
        <v>168263.245341951</v>
      </c>
      <c r="F10" s="6" t="n">
        <v>-0.263323524833436</v>
      </c>
      <c r="G10" s="6" t="n">
        <v>-1.49032188511473</v>
      </c>
    </row>
    <row r="11">
      <c r="A11" s="5" t="n">
        <v>45078</v>
      </c>
      <c r="B11" s="6" t="n">
        <v>257708.330208551</v>
      </c>
      <c r="C11" s="6" t="n">
        <v>260118.202680394</v>
      </c>
      <c r="D11" s="6" t="n">
        <v>165412.421849939</v>
      </c>
      <c r="E11" s="6" t="n">
        <v>168526.469231733</v>
      </c>
      <c r="F11" s="6" t="n">
        <v>-0.926452838367653</v>
      </c>
      <c r="G11" s="6" t="n">
        <v>-1.84780906880111</v>
      </c>
    </row>
    <row r="12">
      <c r="A12" s="5" t="n">
        <v>45108</v>
      </c>
      <c r="B12" s="6" t="n">
        <v>260307.622728151</v>
      </c>
      <c r="C12" s="6" t="n">
        <v>261156.637735523</v>
      </c>
      <c r="D12" s="6" t="n">
        <v>167799.048664938</v>
      </c>
      <c r="E12" s="6" t="n">
        <v>168781.202028297</v>
      </c>
      <c r="F12" s="6" t="n">
        <v>-0.325098000469659</v>
      </c>
      <c r="G12" s="6" t="n">
        <v>-0.581909212374243</v>
      </c>
    </row>
    <row r="13">
      <c r="A13" s="5" t="n">
        <v>45139</v>
      </c>
      <c r="B13" s="6" t="n">
        <v>257788.590674529</v>
      </c>
      <c r="C13" s="6" t="n">
        <v>262229.687292488</v>
      </c>
      <c r="D13" s="6" t="n">
        <v>168610.477951515</v>
      </c>
      <c r="E13" s="6" t="n">
        <v>169044.425918079</v>
      </c>
      <c r="F13" s="6" t="n">
        <v>-1.69359032679087</v>
      </c>
      <c r="G13" s="6" t="n">
        <v>-0.256706462935241</v>
      </c>
    </row>
    <row r="14">
      <c r="A14" s="5" t="n">
        <v>45170</v>
      </c>
      <c r="B14" s="6" t="n">
        <v>259930.398538054</v>
      </c>
      <c r="C14" s="6" t="n">
        <v>263302.736849454</v>
      </c>
      <c r="D14" s="6" t="n">
        <v>170036.734715147</v>
      </c>
      <c r="E14" s="6" t="n">
        <v>169307.649807861</v>
      </c>
      <c r="F14" s="6" t="n">
        <v>-1.28078361499447</v>
      </c>
      <c r="G14" s="6" t="n">
        <v>0.430627268238148</v>
      </c>
    </row>
    <row r="15">
      <c r="A15" s="5" t="n">
        <v>45200</v>
      </c>
      <c r="B15" s="6" t="n">
        <v>262796.843751552</v>
      </c>
      <c r="C15" s="6" t="n">
        <v>264341.171904582</v>
      </c>
      <c r="D15" s="6" t="n">
        <v>171591.676299557</v>
      </c>
      <c r="E15" s="6" t="n">
        <v>169562.382604424</v>
      </c>
      <c r="F15" s="6" t="n">
        <v>-0.584217790177566</v>
      </c>
      <c r="G15" s="6" t="n">
        <v>1.19678295619783</v>
      </c>
    </row>
    <row r="16">
      <c r="A16" s="5" t="n">
        <v>45231</v>
      </c>
      <c r="B16" s="6" t="n">
        <v>257902.101904983</v>
      </c>
      <c r="C16" s="6" t="n">
        <v>265414.221461548</v>
      </c>
      <c r="D16" s="6" t="n">
        <v>166593.224233196</v>
      </c>
      <c r="E16" s="6" t="n">
        <v>169825.606494206</v>
      </c>
      <c r="F16" s="6" t="n">
        <v>-2.83033799590618</v>
      </c>
      <c r="G16" s="6" t="n">
        <v>-1.90335387444689</v>
      </c>
    </row>
    <row r="17">
      <c r="A17" s="5" t="n">
        <v>45261</v>
      </c>
      <c r="B17" s="6" t="n">
        <v>261834.864737902</v>
      </c>
      <c r="C17" s="6" t="n">
        <v>266452.656516676</v>
      </c>
      <c r="D17" s="6" t="n">
        <v>172634.261653089</v>
      </c>
      <c r="E17" s="6" t="n">
        <v>170080.33929077</v>
      </c>
      <c r="F17" s="6" t="n">
        <v>-1.73306276587456</v>
      </c>
      <c r="G17" s="6" t="n">
        <v>1.50159764083768</v>
      </c>
    </row>
    <row r="18">
      <c r="A18" s="5" t="n">
        <v>45292</v>
      </c>
      <c r="B18" s="6" t="n">
        <v>263960.620508232</v>
      </c>
      <c r="C18" s="6" t="n">
        <v>267525.706073642</v>
      </c>
      <c r="D18" s="6" t="n">
        <v>170720.670707064</v>
      </c>
      <c r="E18" s="6" t="n">
        <v>170343.563180552</v>
      </c>
      <c r="F18" s="6" t="n">
        <v>-1.3326142065872</v>
      </c>
      <c r="G18" s="6" t="n">
        <v>0.2213805555493</v>
      </c>
    </row>
    <row r="19">
      <c r="A19" s="5" t="n">
        <v>45323</v>
      </c>
      <c r="B19" s="6" t="n">
        <v>268481.577898961</v>
      </c>
      <c r="C19" s="6" t="n">
        <v>268598.755630608</v>
      </c>
      <c r="D19" s="6" t="n">
        <v>174626.493322923</v>
      </c>
      <c r="E19" s="6" t="n">
        <v>170606.787070334</v>
      </c>
      <c r="F19" s="6" t="n">
        <v>-0.0436255675765218</v>
      </c>
      <c r="G19" s="6" t="n">
        <v>2.35612329475023</v>
      </c>
    </row>
    <row r="20">
      <c r="A20" s="5" t="n">
        <v>45352</v>
      </c>
      <c r="B20" s="6" t="n">
        <v>265451.172019251</v>
      </c>
      <c r="C20" s="6" t="n">
        <v>269602.576183899</v>
      </c>
      <c r="D20" s="6" t="n">
        <v>170333.424718609</v>
      </c>
      <c r="E20" s="6" t="n">
        <v>170853.028773679</v>
      </c>
      <c r="F20" s="6" t="n">
        <v>-1.53982362609769</v>
      </c>
      <c r="G20" s="6" t="n">
        <v>-0.304123408756274</v>
      </c>
    </row>
    <row r="21">
      <c r="A21" s="5" t="n">
        <v>45383</v>
      </c>
      <c r="B21" s="6" t="n">
        <v>270521.340312886</v>
      </c>
      <c r="C21" s="6" t="n">
        <v>270675.625740864</v>
      </c>
      <c r="D21" s="6" t="n">
        <v>170587.219781811</v>
      </c>
      <c r="E21" s="6" t="n">
        <v>171116.252663461</v>
      </c>
      <c r="F21" s="6" t="n">
        <v>-0.0570001187053859</v>
      </c>
      <c r="G21" s="6" t="n">
        <v>-0.309165770880848</v>
      </c>
    </row>
    <row r="22">
      <c r="A22" s="5" t="n">
        <v>45413</v>
      </c>
      <c r="B22" s="6" t="n">
        <v>270055.829610214</v>
      </c>
      <c r="C22" s="6" t="n">
        <v>271714.060795993</v>
      </c>
      <c r="D22" s="6" t="n">
        <v>168922.657794516</v>
      </c>
      <c r="E22" s="6" t="n">
        <v>171370.985460024</v>
      </c>
      <c r="F22" s="6" t="n">
        <v>-0.610285379019848</v>
      </c>
      <c r="G22" s="6" t="n">
        <v>-1.42867105475087</v>
      </c>
    </row>
    <row r="23">
      <c r="A23" s="5" t="n">
        <v>45444</v>
      </c>
      <c r="B23" s="6" t="n">
        <v>272619.578209166</v>
      </c>
      <c r="C23" s="6" t="n">
        <v>272787.110352958</v>
      </c>
      <c r="D23" s="6" t="n">
        <v>172711.71085078</v>
      </c>
      <c r="E23" s="6" t="n">
        <v>171634.209349806</v>
      </c>
      <c r="F23" s="6" t="n">
        <v>-0.0614149779935458</v>
      </c>
      <c r="G23" s="6" t="n">
        <v>0.627789474519735</v>
      </c>
    </row>
    <row r="24">
      <c r="A24" s="5" t="n">
        <v>45474</v>
      </c>
      <c r="B24" s="6" t="n">
        <v>277587.7010532</v>
      </c>
      <c r="C24" s="6" t="n">
        <v>273825.545408087</v>
      </c>
      <c r="D24" s="6" t="n">
        <v>171950.325661172</v>
      </c>
      <c r="E24" s="6" t="n">
        <v>171888.94214637</v>
      </c>
      <c r="F24" s="6" t="n">
        <v>1.37392427704532</v>
      </c>
      <c r="G24" s="6" t="n">
        <v>0.0357111481608774</v>
      </c>
    </row>
    <row r="25">
      <c r="A25" s="5" t="n">
        <v>45505</v>
      </c>
      <c r="B25" s="6" t="n">
        <v>273648.058751769</v>
      </c>
      <c r="C25" s="6" t="n">
        <v>274898.594965052</v>
      </c>
      <c r="D25" s="6" t="n">
        <v>177158.486324358</v>
      </c>
      <c r="E25" s="6" t="n">
        <v>172152.166036152</v>
      </c>
      <c r="F25" s="6" t="n">
        <v>-0.454908186577863</v>
      </c>
      <c r="G25" s="6" t="n">
        <v>2.90807859318727</v>
      </c>
    </row>
    <row r="26">
      <c r="A26" s="5" t="n">
        <v>45536</v>
      </c>
      <c r="B26" s="6" t="n">
        <v>281835.772859604</v>
      </c>
      <c r="C26" s="6" t="n">
        <v>275971.644522018</v>
      </c>
      <c r="D26" s="6" t="n">
        <v>175742.953295791</v>
      </c>
      <c r="E26" s="6" t="n">
        <v>172415.389925934</v>
      </c>
      <c r="F26" s="6" t="n">
        <v>2.12490248689936</v>
      </c>
      <c r="G26" s="6" t="n">
        <v>1.92996887997425</v>
      </c>
    </row>
    <row r="27">
      <c r="A27" s="5" t="n">
        <v>45566</v>
      </c>
      <c r="B27" s="6" t="n">
        <v>269430.944553671</v>
      </c>
      <c r="C27" s="6" t="n">
        <v>277010.079577146</v>
      </c>
      <c r="D27" s="6" t="n">
        <v>168866.656066954</v>
      </c>
      <c r="E27" s="6" t="n">
        <v>172670.122722498</v>
      </c>
      <c r="F27" s="6" t="n">
        <v>-2.73605026757321</v>
      </c>
      <c r="G27" s="6" t="n">
        <v>-2.20273582688982</v>
      </c>
    </row>
    <row r="28">
      <c r="A28" s="5" t="n">
        <v>45597</v>
      </c>
      <c r="B28" s="6" t="n">
        <v>280630.719291849</v>
      </c>
      <c r="C28" s="6" t="n">
        <v>278083.129134112</v>
      </c>
      <c r="D28" s="6" t="n">
        <v>174064.092995075</v>
      </c>
      <c r="E28" s="6" t="n">
        <v>172933.34661228</v>
      </c>
      <c r="F28" s="6" t="n">
        <v>0.916125392313316</v>
      </c>
      <c r="G28" s="6" t="n">
        <v>0.65386254585742</v>
      </c>
    </row>
    <row r="29">
      <c r="A29" s="5" t="n">
        <v>45627</v>
      </c>
      <c r="B29" s="6" t="n">
        <v>290890.3</v>
      </c>
      <c r="C29" s="6" t="n">
        <v>279121.56418924</v>
      </c>
      <c r="D29" s="6" t="n">
        <v>168635.5</v>
      </c>
      <c r="E29" s="6" t="n">
        <v>173188.079408843</v>
      </c>
      <c r="F29" s="6" t="n">
        <v>4.21634775691522</v>
      </c>
      <c r="G29" s="6" t="n">
        <v>-2.62869097248655</v>
      </c>
    </row>
    <row r="30">
      <c r="A30" s="5" t="n">
        <v>45658</v>
      </c>
      <c r="B30" s="6" t="n">
        <v>327557.867171062</v>
      </c>
      <c r="C30" s="6" t="n">
        <v>280194.613746206</v>
      </c>
      <c r="D30" s="6" t="n">
        <v>170263.124677628</v>
      </c>
      <c r="E30" s="6" t="n">
        <v>173451.303298625</v>
      </c>
      <c r="F30" s="6" t="n">
        <v>16.9036987512389</v>
      </c>
      <c r="G30" s="6" t="n">
        <v>-1.838082828071</v>
      </c>
    </row>
    <row r="31">
      <c r="A31" s="5" t="n">
        <v>45689</v>
      </c>
      <c r="B31" s="6" t="n">
        <v>324428.855576008</v>
      </c>
      <c r="C31" s="6" t="n">
        <v>281267.663303172</v>
      </c>
      <c r="D31" s="6" t="n">
        <v>174764.710352649</v>
      </c>
      <c r="E31" s="6" t="n">
        <v>173714.527188407</v>
      </c>
      <c r="F31" s="6" t="n">
        <v>15.345237972242</v>
      </c>
      <c r="G31" s="6" t="n">
        <v>0.604545389057831</v>
      </c>
    </row>
    <row r="32">
      <c r="A32" s="5" t="n">
        <v>45717</v>
      </c>
      <c r="B32" s="6" t="n">
        <v>344383.900574294</v>
      </c>
      <c r="C32" s="6" t="n">
        <v>282236.869354625</v>
      </c>
      <c r="D32" s="6" t="n">
        <v>179694.053904147</v>
      </c>
      <c r="E32" s="6" t="n">
        <v>173952.277798533</v>
      </c>
      <c r="F32" s="6" t="n">
        <v>22.0194588190327</v>
      </c>
      <c r="G32" s="6" t="n">
        <v>3.30077661429853</v>
      </c>
    </row>
    <row r="33">
      <c r="A33" s="5" t="n">
        <v>45748</v>
      </c>
      <c r="B33" s="6" t="n">
        <v>275707.312993146</v>
      </c>
      <c r="C33" s="6" t="n">
        <v>283309.918911591</v>
      </c>
      <c r="D33" s="6" t="n">
        <v>186333.237435437</v>
      </c>
      <c r="E33" s="6" t="n">
        <v>174215.501688315</v>
      </c>
      <c r="F33" s="6" t="n">
        <v>-2.68349443875899</v>
      </c>
      <c r="G33" s="6" t="n">
        <v>6.95560132691371</v>
      </c>
    </row>
    <row r="34">
      <c r="A34" s="5" t="n">
        <v>45778</v>
      </c>
      <c r="B34" s="6" t="n">
        <v>276428.510608862</v>
      </c>
      <c r="C34" s="6" t="n">
        <v>284348.353966719</v>
      </c>
      <c r="D34" s="6" t="n">
        <v>176161.178963322</v>
      </c>
      <c r="E34" s="6" t="n">
        <v>174470.234484879</v>
      </c>
      <c r="F34" s="6" t="n">
        <v>-2.78526084198267</v>
      </c>
      <c r="G34" s="6" t="n">
        <v>0.969187943969763</v>
      </c>
    </row>
    <row r="35">
      <c r="A35" s="5" t="n">
        <v>45809</v>
      </c>
      <c r="B35" s="6" t="n">
        <v>264458.235397295</v>
      </c>
      <c r="C35" s="6" t="n">
        <v>285421.403523685</v>
      </c>
      <c r="D35" s="6" t="n">
        <v>174041.453998827</v>
      </c>
      <c r="E35" s="6" t="n">
        <v>174733.458374661</v>
      </c>
      <c r="F35" s="6" t="n">
        <v>-7.34463774180475</v>
      </c>
      <c r="G35" s="6" t="n">
        <v>-0.396034269721901</v>
      </c>
    </row>
    <row r="36">
      <c r="A36" s="5" t="n">
        <v>45839</v>
      </c>
      <c r="B36" s="6" t="n">
        <v>281968.77591751</v>
      </c>
      <c r="C36" s="6" t="n">
        <v>286459.838578813</v>
      </c>
      <c r="D36" s="6" t="n">
        <v>174789.732401133</v>
      </c>
      <c r="E36" s="6" t="n">
        <v>174988.191171224</v>
      </c>
      <c r="F36" s="6" t="n">
        <v>-1.56778090903914</v>
      </c>
      <c r="G36" s="6" t="n">
        <v>-0.113412664456203</v>
      </c>
    </row>
    <row r="37">
      <c r="A37" s="5" t="n">
        <v>45870</v>
      </c>
      <c r="B37" s="6" t="n">
        <v>262713.143551318</v>
      </c>
      <c r="C37" s="6" t="n">
        <v>287532.888135779</v>
      </c>
      <c r="D37" s="6" t="n">
        <v>173268.153548036</v>
      </c>
      <c r="E37" s="6" t="n">
        <v>175251.415061007</v>
      </c>
      <c r="F37" s="6" t="n">
        <v>-8.6319671969978</v>
      </c>
      <c r="G37" s="6" t="n">
        <v>-1.13166647600537</v>
      </c>
    </row>
    <row r="38">
      <c r="A38" s="5" t="n">
        <v>45901</v>
      </c>
      <c r="B38" s="6" t="n">
        <v>265536.01879757</v>
      </c>
      <c r="C38" s="6" t="n">
        <v>288605.937692744</v>
      </c>
      <c r="D38" s="6" t="n">
        <v>182221.280801108</v>
      </c>
      <c r="E38" s="6" t="n">
        <v>175514.638950789</v>
      </c>
      <c r="F38" s="6" t="n">
        <v>-7.99357043018802</v>
      </c>
      <c r="G38" s="6" t="n">
        <v>3.82112961654422</v>
      </c>
    </row>
    <row r="39">
      <c r="A39" s="5" t="n">
        <v>45931</v>
      </c>
      <c r="B39" s="6" t="n">
        <v>253549.691492809</v>
      </c>
      <c r="C39" s="6" t="n">
        <v>289644.372747873</v>
      </c>
      <c r="D39" s="6" t="n">
        <v>187987.075687668</v>
      </c>
      <c r="E39" s="6" t="n">
        <v>175769.371747352</v>
      </c>
      <c r="F39" s="6" t="n">
        <v>-12.4617236346185</v>
      </c>
      <c r="G39" s="6" t="n">
        <v>6.95098572570294</v>
      </c>
    </row>
    <row r="40">
      <c r="A40" s="5" t="n">
        <v>45962</v>
      </c>
      <c r="B40" s="6" t="n">
        <v>267868.158623272</v>
      </c>
      <c r="C40" s="6" t="n">
        <v>290717.422304838</v>
      </c>
      <c r="D40" s="6" t="n">
        <v>177649.395085106</v>
      </c>
      <c r="E40" s="6" t="n">
        <v>176032.595637134</v>
      </c>
      <c r="F40" s="6" t="n">
        <v>-7.85961278151649</v>
      </c>
      <c r="G40" s="6" t="n">
        <v>0.918465947809333</v>
      </c>
    </row>
    <row r="41">
      <c r="A41" s="8" t="n">
        <v>45992</v>
      </c>
      <c r="B41" s="9" t="n">
        <v>277443.23221444</v>
      </c>
      <c r="C41" s="9" t="n">
        <v>291755.857359967</v>
      </c>
      <c r="D41" s="9" t="n">
        <v>172648.559966509</v>
      </c>
      <c r="E41" s="9" t="n">
        <v>176287.328433698</v>
      </c>
      <c r="F41" s="9" t="n">
        <v>-4.90568562188901</v>
      </c>
      <c r="G41" s="9" t="n">
        <v>-2.06411232135583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8.71" hidden="0" customWidth="1"/>
    <col min="2" max="2" width="12.71" hidden="0" customWidth="1"/>
    <col min="3" max="3" width="13.71" hidden="0" customWidth="1"/>
    <col min="4" max="4" width="12.71" hidden="0" customWidth="1"/>
    <col min="5" max="5" width="13.71" hidden="0" customWidth="1"/>
    <col min="6" max="6" width="32.71" hidden="0" customWidth="1"/>
    <col min="7" max="7" width="32.71" hidden="0" customWidth="1"/>
  </cols>
  <sheetData>
    <row r="1">
      <c r="A1" s="1" t="s">
        <v>152</v>
      </c>
    </row>
    <row r="2">
      <c r="A2" s="2" t="s">
        <v>153</v>
      </c>
    </row>
    <row r="3">
      <c r="A3" s="2" t="s">
        <v>145</v>
      </c>
    </row>
    <row r="5">
      <c r="A5" s="4" t="s">
        <v>4</v>
      </c>
      <c r="B5" s="4" t="s">
        <v>154</v>
      </c>
      <c r="C5" s="4" t="s">
        <v>155</v>
      </c>
      <c r="D5" s="4" t="s">
        <v>156</v>
      </c>
      <c r="E5" s="4" t="s">
        <v>157</v>
      </c>
      <c r="F5" s="4" t="s">
        <v>150</v>
      </c>
      <c r="G5" s="4" t="s">
        <v>151</v>
      </c>
    </row>
    <row r="6">
      <c r="A6" s="5" t="n">
        <v>44927</v>
      </c>
      <c r="B6" s="6" t="n">
        <v>230593</v>
      </c>
      <c r="C6" s="6" t="n">
        <v>222306.196279864</v>
      </c>
      <c r="D6" s="6" t="n">
        <v>144760</v>
      </c>
      <c r="E6" s="6" t="n">
        <v>140361.433613573</v>
      </c>
      <c r="F6" s="6" t="n">
        <v>3.7276530563745</v>
      </c>
      <c r="G6" s="6" t="n">
        <v>3.13374284743808</v>
      </c>
    </row>
    <row r="7">
      <c r="A7" s="5" t="n">
        <v>44958</v>
      </c>
      <c r="B7" s="6" t="n">
        <v>227250</v>
      </c>
      <c r="C7" s="6" t="n">
        <v>223242.067609196</v>
      </c>
      <c r="D7" s="6" t="n">
        <v>138984</v>
      </c>
      <c r="E7" s="6" t="n">
        <v>140582.346848906</v>
      </c>
      <c r="F7" s="6" t="n">
        <v>1.79533025908902</v>
      </c>
      <c r="G7" s="6" t="n">
        <v>-1.13694705255125</v>
      </c>
    </row>
    <row r="8">
      <c r="A8" s="5" t="n">
        <v>44986</v>
      </c>
      <c r="B8" s="6" t="n">
        <v>224390</v>
      </c>
      <c r="C8" s="6" t="n">
        <v>224087.370745367</v>
      </c>
      <c r="D8" s="6" t="n">
        <v>143297</v>
      </c>
      <c r="E8" s="6" t="n">
        <v>140781.881384045</v>
      </c>
      <c r="F8" s="6" t="n">
        <v>0.13504966996849</v>
      </c>
      <c r="G8" s="6" t="n">
        <v>1.7865357326015</v>
      </c>
    </row>
    <row r="9">
      <c r="A9" s="5" t="n">
        <v>45017</v>
      </c>
      <c r="B9" s="6" t="n">
        <v>229982</v>
      </c>
      <c r="C9" s="6" t="n">
        <v>225023.2420747</v>
      </c>
      <c r="D9" s="6" t="n">
        <v>137207</v>
      </c>
      <c r="E9" s="6" t="n">
        <v>141002.794619378</v>
      </c>
      <c r="F9" s="6" t="n">
        <v>2.20366477683855</v>
      </c>
      <c r="G9" s="6" t="n">
        <v>-2.69199956612535</v>
      </c>
    </row>
    <row r="10">
      <c r="A10" s="5" t="n">
        <v>45047</v>
      </c>
      <c r="B10" s="6" t="n">
        <v>225334</v>
      </c>
      <c r="C10" s="6" t="n">
        <v>225928.924006312</v>
      </c>
      <c r="D10" s="6" t="n">
        <v>139112</v>
      </c>
      <c r="E10" s="6" t="n">
        <v>141216.581621313</v>
      </c>
      <c r="F10" s="6" t="n">
        <v>-0.263323524833448</v>
      </c>
      <c r="G10" s="6" t="n">
        <v>-1.49032188511474</v>
      </c>
    </row>
    <row r="11">
      <c r="A11" s="5" t="n">
        <v>45078</v>
      </c>
      <c r="B11" s="6" t="n">
        <v>224763</v>
      </c>
      <c r="C11" s="6" t="n">
        <v>226864.795335644</v>
      </c>
      <c r="D11" s="6" t="n">
        <v>138824</v>
      </c>
      <c r="E11" s="6" t="n">
        <v>141437.494856646</v>
      </c>
      <c r="F11" s="6" t="n">
        <v>-0.926452838367653</v>
      </c>
      <c r="G11" s="6" t="n">
        <v>-1.84780906880112</v>
      </c>
    </row>
    <row r="12">
      <c r="A12" s="5" t="n">
        <v>45108</v>
      </c>
      <c r="B12" s="6" t="n">
        <v>227030</v>
      </c>
      <c r="C12" s="6" t="n">
        <v>227770.477267256</v>
      </c>
      <c r="D12" s="6" t="n">
        <v>140827</v>
      </c>
      <c r="E12" s="6" t="n">
        <v>141651.281858581</v>
      </c>
      <c r="F12" s="6" t="n">
        <v>-0.325098000469648</v>
      </c>
      <c r="G12" s="6" t="n">
        <v>-0.581909212374243</v>
      </c>
    </row>
    <row r="13">
      <c r="A13" s="5" t="n">
        <v>45139</v>
      </c>
      <c r="B13" s="6" t="n">
        <v>224833</v>
      </c>
      <c r="C13" s="6" t="n">
        <v>228706.348596588</v>
      </c>
      <c r="D13" s="6" t="n">
        <v>141508</v>
      </c>
      <c r="E13" s="6" t="n">
        <v>141872.195093914</v>
      </c>
      <c r="F13" s="6" t="n">
        <v>-1.69359032679086</v>
      </c>
      <c r="G13" s="6" t="n">
        <v>-0.256706462935241</v>
      </c>
    </row>
    <row r="14">
      <c r="A14" s="5" t="n">
        <v>45170</v>
      </c>
      <c r="B14" s="6" t="n">
        <v>226701</v>
      </c>
      <c r="C14" s="6" t="n">
        <v>229642.219925921</v>
      </c>
      <c r="D14" s="6" t="n">
        <v>142705</v>
      </c>
      <c r="E14" s="6" t="n">
        <v>142093.108329247</v>
      </c>
      <c r="F14" s="6" t="n">
        <v>-1.28078361499447</v>
      </c>
      <c r="G14" s="6" t="n">
        <v>0.430627268238171</v>
      </c>
    </row>
    <row r="15">
      <c r="A15" s="5" t="n">
        <v>45200</v>
      </c>
      <c r="B15" s="6" t="n">
        <v>229201</v>
      </c>
      <c r="C15" s="6" t="n">
        <v>230547.901857533</v>
      </c>
      <c r="D15" s="6" t="n">
        <v>144010</v>
      </c>
      <c r="E15" s="6" t="n">
        <v>142306.895331182</v>
      </c>
      <c r="F15" s="6" t="n">
        <v>-0.584217790177544</v>
      </c>
      <c r="G15" s="6" t="n">
        <v>1.19678295619783</v>
      </c>
    </row>
    <row r="16">
      <c r="A16" s="5" t="n">
        <v>45231</v>
      </c>
      <c r="B16" s="6" t="n">
        <v>224932</v>
      </c>
      <c r="C16" s="6" t="n">
        <v>231483.773186865</v>
      </c>
      <c r="D16" s="6" t="n">
        <v>139815</v>
      </c>
      <c r="E16" s="6" t="n">
        <v>142527.808566515</v>
      </c>
      <c r="F16" s="6" t="n">
        <v>-2.83033799590618</v>
      </c>
      <c r="G16" s="6" t="n">
        <v>-1.90335387444689</v>
      </c>
    </row>
    <row r="17">
      <c r="A17" s="5" t="n">
        <v>45261</v>
      </c>
      <c r="B17" s="6" t="n">
        <v>228362</v>
      </c>
      <c r="C17" s="6" t="n">
        <v>232389.455118477</v>
      </c>
      <c r="D17" s="6" t="n">
        <v>144885</v>
      </c>
      <c r="E17" s="6" t="n">
        <v>142741.59556845</v>
      </c>
      <c r="F17" s="6" t="n">
        <v>-1.73306276587456</v>
      </c>
      <c r="G17" s="6" t="n">
        <v>1.50159764083768</v>
      </c>
    </row>
    <row r="18">
      <c r="A18" s="5" t="n">
        <v>45292</v>
      </c>
      <c r="B18" s="6" t="n">
        <v>230216</v>
      </c>
      <c r="C18" s="6" t="n">
        <v>233325.326447809</v>
      </c>
      <c r="D18" s="6" t="n">
        <v>143279</v>
      </c>
      <c r="E18" s="6" t="n">
        <v>142962.508803783</v>
      </c>
      <c r="F18" s="6" t="n">
        <v>-1.33261420658721</v>
      </c>
      <c r="G18" s="6" t="n">
        <v>0.2213805555493</v>
      </c>
    </row>
    <row r="19">
      <c r="A19" s="5" t="n">
        <v>45323</v>
      </c>
      <c r="B19" s="6" t="n">
        <v>234159</v>
      </c>
      <c r="C19" s="6" t="n">
        <v>234261.197777142</v>
      </c>
      <c r="D19" s="6" t="n">
        <v>146557</v>
      </c>
      <c r="E19" s="6" t="n">
        <v>143183.422039116</v>
      </c>
      <c r="F19" s="6" t="n">
        <v>-0.0436255675765329</v>
      </c>
      <c r="G19" s="6" t="n">
        <v>2.35612329475023</v>
      </c>
    </row>
    <row r="20">
      <c r="A20" s="5" t="n">
        <v>45352</v>
      </c>
      <c r="B20" s="6" t="n">
        <v>231516</v>
      </c>
      <c r="C20" s="6" t="n">
        <v>235136.690311033</v>
      </c>
      <c r="D20" s="6" t="n">
        <v>142954</v>
      </c>
      <c r="E20" s="6" t="n">
        <v>143390.082807653</v>
      </c>
      <c r="F20" s="6" t="n">
        <v>-1.53982362609769</v>
      </c>
      <c r="G20" s="6" t="n">
        <v>-0.304123408756285</v>
      </c>
    </row>
    <row r="21">
      <c r="A21" s="5" t="n">
        <v>45383</v>
      </c>
      <c r="B21" s="6" t="n">
        <v>235938</v>
      </c>
      <c r="C21" s="6" t="n">
        <v>236072.561640366</v>
      </c>
      <c r="D21" s="6" t="n">
        <v>143167</v>
      </c>
      <c r="E21" s="6" t="n">
        <v>143610.996042986</v>
      </c>
      <c r="F21" s="6" t="n">
        <v>-0.0570001187053748</v>
      </c>
      <c r="G21" s="6" t="n">
        <v>-0.309165770880848</v>
      </c>
    </row>
    <row r="22">
      <c r="A22" s="5" t="n">
        <v>45413</v>
      </c>
      <c r="B22" s="6" t="n">
        <v>235532</v>
      </c>
      <c r="C22" s="6" t="n">
        <v>236978.243571978</v>
      </c>
      <c r="D22" s="6" t="n">
        <v>141770</v>
      </c>
      <c r="E22" s="6" t="n">
        <v>143824.783044921</v>
      </c>
      <c r="F22" s="6" t="n">
        <v>-0.610285379019837</v>
      </c>
      <c r="G22" s="6" t="n">
        <v>-1.42867105475087</v>
      </c>
    </row>
    <row r="23">
      <c r="A23" s="5" t="n">
        <v>45444</v>
      </c>
      <c r="B23" s="6" t="n">
        <v>237768</v>
      </c>
      <c r="C23" s="6" t="n">
        <v>237914.11490131</v>
      </c>
      <c r="D23" s="6" t="n">
        <v>144950</v>
      </c>
      <c r="E23" s="6" t="n">
        <v>144045.696280254</v>
      </c>
      <c r="F23" s="6" t="n">
        <v>-0.0614149779935458</v>
      </c>
      <c r="G23" s="6" t="n">
        <v>0.627789474519735</v>
      </c>
    </row>
    <row r="24">
      <c r="A24" s="5" t="n">
        <v>45474</v>
      </c>
      <c r="B24" s="6" t="n">
        <v>242101</v>
      </c>
      <c r="C24" s="6" t="n">
        <v>238819.796832922</v>
      </c>
      <c r="D24" s="6" t="n">
        <v>144311</v>
      </c>
      <c r="E24" s="6" t="n">
        <v>144259.483282189</v>
      </c>
      <c r="F24" s="6" t="n">
        <v>1.37392427704532</v>
      </c>
      <c r="G24" s="6" t="n">
        <v>0.0357111481608774</v>
      </c>
    </row>
    <row r="25">
      <c r="A25" s="5" t="n">
        <v>45505</v>
      </c>
      <c r="B25" s="6" t="n">
        <v>238665</v>
      </c>
      <c r="C25" s="6" t="n">
        <v>239755.668162255</v>
      </c>
      <c r="D25" s="6" t="n">
        <v>148682</v>
      </c>
      <c r="E25" s="6" t="n">
        <v>144480.396517522</v>
      </c>
      <c r="F25" s="6" t="n">
        <v>-0.454908186577851</v>
      </c>
      <c r="G25" s="6" t="n">
        <v>2.90807859318727</v>
      </c>
    </row>
    <row r="26">
      <c r="A26" s="5" t="n">
        <v>45536</v>
      </c>
      <c r="B26" s="6" t="n">
        <v>245806</v>
      </c>
      <c r="C26" s="6" t="n">
        <v>240691.539491587</v>
      </c>
      <c r="D26" s="6" t="n">
        <v>147494</v>
      </c>
      <c r="E26" s="6" t="n">
        <v>144701.309752855</v>
      </c>
      <c r="F26" s="6" t="n">
        <v>2.12490248689936</v>
      </c>
      <c r="G26" s="6" t="n">
        <v>1.92996887997425</v>
      </c>
    </row>
    <row r="27">
      <c r="A27" s="5" t="n">
        <v>45566</v>
      </c>
      <c r="B27" s="6" t="n">
        <v>234987</v>
      </c>
      <c r="C27" s="6" t="n">
        <v>241597.221423199</v>
      </c>
      <c r="D27" s="6" t="n">
        <v>141723</v>
      </c>
      <c r="E27" s="6" t="n">
        <v>144915.09675479</v>
      </c>
      <c r="F27" s="6" t="n">
        <v>-2.73605026757321</v>
      </c>
      <c r="G27" s="6" t="n">
        <v>-2.20273582688983</v>
      </c>
    </row>
    <row r="28">
      <c r="A28" s="5" t="n">
        <v>45597</v>
      </c>
      <c r="B28" s="6" t="n">
        <v>244755</v>
      </c>
      <c r="C28" s="6" t="n">
        <v>242533.092752531</v>
      </c>
      <c r="D28" s="6" t="n">
        <v>146085</v>
      </c>
      <c r="E28" s="6" t="n">
        <v>145136.009990123</v>
      </c>
      <c r="F28" s="6" t="n">
        <v>0.916125392313316</v>
      </c>
      <c r="G28" s="6" t="n">
        <v>0.65386254585742</v>
      </c>
    </row>
    <row r="29">
      <c r="A29" s="5" t="n">
        <v>45627</v>
      </c>
      <c r="B29" s="6" t="n">
        <v>253703</v>
      </c>
      <c r="C29" s="6" t="n">
        <v>243438.774684143</v>
      </c>
      <c r="D29" s="6" t="n">
        <v>141529</v>
      </c>
      <c r="E29" s="6" t="n">
        <v>145349.796992058</v>
      </c>
      <c r="F29" s="6" t="n">
        <v>4.21634775691522</v>
      </c>
      <c r="G29" s="6" t="n">
        <v>-2.62869097248656</v>
      </c>
    </row>
    <row r="30">
      <c r="A30" s="5" t="n">
        <v>45658</v>
      </c>
      <c r="B30" s="6" t="n">
        <v>285683</v>
      </c>
      <c r="C30" s="6" t="n">
        <v>244374.646013476</v>
      </c>
      <c r="D30" s="6" t="n">
        <v>142895</v>
      </c>
      <c r="E30" s="6" t="n">
        <v>145570.710227391</v>
      </c>
      <c r="F30" s="6" t="n">
        <v>16.9036987512389</v>
      </c>
      <c r="G30" s="6" t="n">
        <v>-1.838082828071</v>
      </c>
    </row>
    <row r="31">
      <c r="A31" s="5" t="n">
        <v>45689</v>
      </c>
      <c r="B31" s="6" t="n">
        <v>282954</v>
      </c>
      <c r="C31" s="6" t="n">
        <v>245310.517342808</v>
      </c>
      <c r="D31" s="6" t="n">
        <v>146673</v>
      </c>
      <c r="E31" s="6" t="n">
        <v>145791.623462724</v>
      </c>
      <c r="F31" s="6" t="n">
        <v>15.3452379722421</v>
      </c>
      <c r="G31" s="6" t="n">
        <v>0.604545389057831</v>
      </c>
    </row>
    <row r="32">
      <c r="A32" s="5" t="n">
        <v>45717</v>
      </c>
      <c r="B32" s="6" t="n">
        <v>300358</v>
      </c>
      <c r="C32" s="6" t="n">
        <v>246155.820478979</v>
      </c>
      <c r="D32" s="6" t="n">
        <v>150810</v>
      </c>
      <c r="E32" s="6" t="n">
        <v>145991.157997863</v>
      </c>
      <c r="F32" s="6" t="n">
        <v>22.0194588190327</v>
      </c>
      <c r="G32" s="6" t="n">
        <v>3.30077661429853</v>
      </c>
    </row>
    <row r="33">
      <c r="A33" s="5" t="n">
        <v>45748</v>
      </c>
      <c r="B33" s="6" t="n">
        <v>240461</v>
      </c>
      <c r="C33" s="6" t="n">
        <v>247091.691808312</v>
      </c>
      <c r="D33" s="6" t="n">
        <v>156382</v>
      </c>
      <c r="E33" s="6" t="n">
        <v>146212.071233196</v>
      </c>
      <c r="F33" s="6" t="n">
        <v>-2.68349443875899</v>
      </c>
      <c r="G33" s="6" t="n">
        <v>6.95560132691371</v>
      </c>
    </row>
    <row r="34">
      <c r="A34" s="5" t="n">
        <v>45778</v>
      </c>
      <c r="B34" s="6" t="n">
        <v>241090</v>
      </c>
      <c r="C34" s="6" t="n">
        <v>247997.373739924</v>
      </c>
      <c r="D34" s="6" t="n">
        <v>147845</v>
      </c>
      <c r="E34" s="6" t="n">
        <v>146425.858235131</v>
      </c>
      <c r="F34" s="6" t="n">
        <v>-2.78526084198268</v>
      </c>
      <c r="G34" s="6" t="n">
        <v>0.96918794396974</v>
      </c>
    </row>
    <row r="35">
      <c r="A35" s="5" t="n">
        <v>45809</v>
      </c>
      <c r="B35" s="6" t="n">
        <v>230650</v>
      </c>
      <c r="C35" s="6" t="n">
        <v>248933.245069256</v>
      </c>
      <c r="D35" s="6" t="n">
        <v>146066</v>
      </c>
      <c r="E35" s="6" t="n">
        <v>146646.771470464</v>
      </c>
      <c r="F35" s="6" t="n">
        <v>-7.34463774180476</v>
      </c>
      <c r="G35" s="6" t="n">
        <v>-0.39603426972189</v>
      </c>
    </row>
    <row r="36">
      <c r="A36" s="5" t="n">
        <v>45839</v>
      </c>
      <c r="B36" s="6" t="n">
        <v>245922</v>
      </c>
      <c r="C36" s="6" t="n">
        <v>249838.927000868</v>
      </c>
      <c r="D36" s="6" t="n">
        <v>146694</v>
      </c>
      <c r="E36" s="6" t="n">
        <v>146860.558472399</v>
      </c>
      <c r="F36" s="6" t="n">
        <v>-1.56778090903915</v>
      </c>
      <c r="G36" s="6" t="n">
        <v>-0.113412664456203</v>
      </c>
    </row>
    <row r="37">
      <c r="A37" s="5" t="n">
        <v>45870</v>
      </c>
      <c r="B37" s="6" t="n">
        <v>229128</v>
      </c>
      <c r="C37" s="6" t="n">
        <v>250774.7983302</v>
      </c>
      <c r="D37" s="6" t="n">
        <v>145417</v>
      </c>
      <c r="E37" s="6" t="n">
        <v>147081.471707732</v>
      </c>
      <c r="F37" s="6" t="n">
        <v>-8.63196719699779</v>
      </c>
      <c r="G37" s="6" t="n">
        <v>-1.13166647600537</v>
      </c>
    </row>
    <row r="38">
      <c r="A38" s="5" t="n">
        <v>45901</v>
      </c>
      <c r="B38" s="6" t="n">
        <v>231590</v>
      </c>
      <c r="C38" s="6" t="n">
        <v>251710.669659533</v>
      </c>
      <c r="D38" s="6" t="n">
        <v>152931</v>
      </c>
      <c r="E38" s="6" t="n">
        <v>147302.384943065</v>
      </c>
      <c r="F38" s="6" t="n">
        <v>-7.99357043018801</v>
      </c>
      <c r="G38" s="6" t="n">
        <v>3.82112961654422</v>
      </c>
    </row>
    <row r="39">
      <c r="A39" s="5" t="n">
        <v>45931</v>
      </c>
      <c r="B39" s="6" t="n">
        <v>221136</v>
      </c>
      <c r="C39" s="6" t="n">
        <v>252616.351591145</v>
      </c>
      <c r="D39" s="6" t="n">
        <v>157770</v>
      </c>
      <c r="E39" s="6" t="n">
        <v>147516.171945</v>
      </c>
      <c r="F39" s="6" t="n">
        <v>-12.4617236346185</v>
      </c>
      <c r="G39" s="6" t="n">
        <v>6.95098572570294</v>
      </c>
    </row>
    <row r="40">
      <c r="A40" s="5" t="n">
        <v>45962</v>
      </c>
      <c r="B40" s="6" t="n">
        <v>233624</v>
      </c>
      <c r="C40" s="6" t="n">
        <v>253552.222920477</v>
      </c>
      <c r="D40" s="6" t="n">
        <v>149094</v>
      </c>
      <c r="E40" s="6" t="n">
        <v>147737.085180333</v>
      </c>
      <c r="F40" s="6" t="n">
        <v>-7.85961278151649</v>
      </c>
      <c r="G40" s="6" t="n">
        <v>0.918465947809333</v>
      </c>
    </row>
    <row r="41">
      <c r="A41" s="8" t="n">
        <v>45992</v>
      </c>
      <c r="B41" s="9" t="n">
        <v>241975</v>
      </c>
      <c r="C41" s="9" t="n">
        <v>254457.904852089</v>
      </c>
      <c r="D41" s="9" t="n">
        <v>144897</v>
      </c>
      <c r="E41" s="9" t="n">
        <v>147950.872182268</v>
      </c>
      <c r="F41" s="9" t="n">
        <v>-4.90568562188901</v>
      </c>
      <c r="G41" s="9" t="n">
        <v>-2.06411232135583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  <col min="2" max="2" width="12.71" hidden="0" customWidth="1"/>
    <col min="3" max="3" width="13.71" hidden="0" customWidth="1"/>
    <col min="4" max="4" width="26.71" hidden="0" customWidth="1"/>
    <col min="5" max="5" width="29.71" hidden="0" customWidth="1"/>
  </cols>
  <sheetData>
    <row r="1">
      <c r="A1" s="1" t="s">
        <v>158</v>
      </c>
    </row>
    <row r="2">
      <c r="A2" s="2" t="s">
        <v>159</v>
      </c>
    </row>
    <row r="3">
      <c r="A3" s="2" t="s">
        <v>145</v>
      </c>
    </row>
    <row r="5">
      <c r="A5" s="4" t="s">
        <v>4</v>
      </c>
      <c r="B5" s="4" t="s">
        <v>154</v>
      </c>
      <c r="C5" s="4" t="s">
        <v>155</v>
      </c>
      <c r="D5" s="4" t="s">
        <v>160</v>
      </c>
      <c r="E5" s="4" t="s">
        <v>161</v>
      </c>
    </row>
    <row r="6">
      <c r="A6" s="5" t="n">
        <v>45627</v>
      </c>
      <c r="B6" s="6" t="n">
        <v>253703</v>
      </c>
      <c r="C6" s="6" t="n">
        <v>243438.774684143</v>
      </c>
      <c r="D6" s="6" t="n">
        <v>11.7687358107597</v>
      </c>
      <c r="E6" s="6" t="n">
        <v>11.7687358107597</v>
      </c>
    </row>
    <row r="7">
      <c r="A7" s="5" t="n">
        <v>45658</v>
      </c>
      <c r="B7" s="6" t="n">
        <v>285683</v>
      </c>
      <c r="C7" s="6" t="n">
        <v>244374.646013476</v>
      </c>
      <c r="D7" s="6" t="n">
        <v>47.3632534248561</v>
      </c>
      <c r="E7" s="6" t="n">
        <v>59.1319892356158</v>
      </c>
    </row>
    <row r="8">
      <c r="A8" s="5" t="n">
        <v>45689</v>
      </c>
      <c r="B8" s="6" t="n">
        <v>282954</v>
      </c>
      <c r="C8" s="6" t="n">
        <v>245310.517342808</v>
      </c>
      <c r="D8" s="6" t="n">
        <v>43.1611922728362</v>
      </c>
      <c r="E8" s="6" t="n">
        <v>102.293181508452</v>
      </c>
    </row>
    <row r="9">
      <c r="A9" s="5" t="n">
        <v>45717</v>
      </c>
      <c r="B9" s="6" t="n">
        <v>300358</v>
      </c>
      <c r="C9" s="6" t="n">
        <v>246155.820478979</v>
      </c>
      <c r="D9" s="6" t="n">
        <v>62.1470312196687</v>
      </c>
      <c r="E9" s="6" t="n">
        <v>164.440212728121</v>
      </c>
    </row>
    <row r="10">
      <c r="A10" s="5" t="n">
        <v>45748</v>
      </c>
      <c r="B10" s="6" t="n">
        <v>240461</v>
      </c>
      <c r="C10" s="6" t="n">
        <v>247091.691808312</v>
      </c>
      <c r="D10" s="6" t="n">
        <v>-7.60260591844516</v>
      </c>
      <c r="E10" s="6" t="n">
        <v>156.837606809676</v>
      </c>
    </row>
    <row r="11">
      <c r="A11" s="5" t="n">
        <v>45778</v>
      </c>
      <c r="B11" s="6" t="n">
        <v>241090</v>
      </c>
      <c r="C11" s="6" t="n">
        <v>247997.373739924</v>
      </c>
      <c r="D11" s="6" t="n">
        <v>-7.91984335785732</v>
      </c>
      <c r="E11" s="6" t="n">
        <v>148.917763451818</v>
      </c>
    </row>
    <row r="12">
      <c r="A12" s="5" t="n">
        <v>45809</v>
      </c>
      <c r="B12" s="6" t="n">
        <v>230650</v>
      </c>
      <c r="C12" s="6" t="n">
        <v>248933.245069256</v>
      </c>
      <c r="D12" s="6" t="n">
        <v>-20.9631681263894</v>
      </c>
      <c r="E12" s="6" t="n">
        <v>127.954595325429</v>
      </c>
    </row>
    <row r="13">
      <c r="A13" s="5" t="n">
        <v>45839</v>
      </c>
      <c r="B13" s="6" t="n">
        <v>245922</v>
      </c>
      <c r="C13" s="6" t="n">
        <v>249838.927000868</v>
      </c>
      <c r="D13" s="6" t="n">
        <v>-4.49106266130297</v>
      </c>
      <c r="E13" s="6" t="n">
        <v>123.463532664126</v>
      </c>
    </row>
    <row r="14">
      <c r="A14" s="5" t="n">
        <v>45870</v>
      </c>
      <c r="B14" s="6" t="n">
        <v>229128</v>
      </c>
      <c r="C14" s="6" t="n">
        <v>250774.7983302</v>
      </c>
      <c r="D14" s="6" t="n">
        <v>-24.8197445844608</v>
      </c>
      <c r="E14" s="6" t="n">
        <v>98.6437880796651</v>
      </c>
    </row>
    <row r="15">
      <c r="A15" s="5" t="n">
        <v>45901</v>
      </c>
      <c r="B15" s="6" t="n">
        <v>231590</v>
      </c>
      <c r="C15" s="6" t="n">
        <v>251710.669659533</v>
      </c>
      <c r="D15" s="6" t="n">
        <v>-23.0699188951741</v>
      </c>
      <c r="E15" s="6" t="n">
        <v>75.573869184491</v>
      </c>
    </row>
    <row r="16">
      <c r="A16" s="5" t="n">
        <v>45931</v>
      </c>
      <c r="B16" s="6" t="n">
        <v>221136</v>
      </c>
      <c r="C16" s="6" t="n">
        <v>252616.351591145</v>
      </c>
      <c r="D16" s="6" t="n">
        <v>-36.0946812550641</v>
      </c>
      <c r="E16" s="6" t="n">
        <v>39.4791879294268</v>
      </c>
    </row>
    <row r="17">
      <c r="A17" s="5" t="n">
        <v>45962</v>
      </c>
      <c r="B17" s="6" t="n">
        <v>233624</v>
      </c>
      <c r="C17" s="6" t="n">
        <v>253552.222920477</v>
      </c>
      <c r="D17" s="6" t="n">
        <v>-22.8492636815663</v>
      </c>
      <c r="E17" s="6" t="n">
        <v>16.6299242478605</v>
      </c>
    </row>
    <row r="18">
      <c r="A18" s="8" t="n">
        <v>45992</v>
      </c>
      <c r="B18" s="9" t="n">
        <v>241975</v>
      </c>
      <c r="C18" s="9" t="n">
        <v>254457.904852089</v>
      </c>
      <c r="D18" s="9" t="n">
        <v>-14.3126251455269</v>
      </c>
      <c r="E18" s="9" t="n">
        <v>2.31729910233361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6.71" hidden="0" customWidth="1"/>
    <col min="2" max="2" width="38.71" hidden="0" customWidth="1"/>
    <col min="3" max="3" width="29.71" hidden="0" customWidth="1"/>
    <col min="4" max="4" width="29.71" hidden="0" customWidth="1"/>
    <col min="5" max="5" width="29.71" hidden="0" customWidth="1"/>
    <col min="6" max="6" width="41.71" hidden="0" customWidth="1"/>
    <col min="7" max="7" width="32.71" hidden="0" customWidth="1"/>
    <col min="8" max="8" width="32.71" hidden="0" customWidth="1"/>
    <col min="9" max="9" width="32.71" hidden="0" customWidth="1"/>
    <col min="10" max="10" width="18.71" hidden="0" customWidth="1"/>
  </cols>
  <sheetData>
    <row r="1">
      <c r="A1" s="1" t="s">
        <v>162</v>
      </c>
    </row>
    <row r="2">
      <c r="A2" s="2" t="s">
        <v>163</v>
      </c>
    </row>
    <row r="3">
      <c r="A3" s="2" t="s">
        <v>15</v>
      </c>
    </row>
    <row r="5">
      <c r="A5" s="4" t="s">
        <v>4</v>
      </c>
      <c r="B5" s="4" t="s">
        <v>16</v>
      </c>
      <c r="C5" s="4" t="s">
        <v>164</v>
      </c>
      <c r="D5" s="4" t="s">
        <v>18</v>
      </c>
      <c r="E5" s="4" t="s">
        <v>19</v>
      </c>
      <c r="F5" s="4" t="s">
        <v>20</v>
      </c>
      <c r="G5" s="4" t="s">
        <v>165</v>
      </c>
      <c r="H5" s="4" t="s">
        <v>22</v>
      </c>
      <c r="I5" s="4" t="s">
        <v>23</v>
      </c>
      <c r="J5" s="4" t="s">
        <v>24</v>
      </c>
    </row>
    <row r="6">
      <c r="A6" s="5" t="n">
        <v>44927</v>
      </c>
      <c r="B6" s="6" t="n">
        <v>100.693736917178</v>
      </c>
      <c r="C6" s="6" t="n">
        <v>100.92968518895</v>
      </c>
      <c r="D6" s="6" t="n">
        <v>100.601424908979</v>
      </c>
      <c r="E6" s="6" t="n">
        <v>101.259016575136</v>
      </c>
      <c r="F6" s="6" t="n">
        <v>103.849235112349</v>
      </c>
      <c r="G6" s="6" t="n">
        <v>104.193354593693</v>
      </c>
      <c r="H6" s="6" t="n">
        <v>103.694733127383</v>
      </c>
      <c r="I6" s="6" t="n">
        <v>104.694373707011</v>
      </c>
      <c r="J6" s="10" t="b">
        <v>0</v>
      </c>
    </row>
    <row r="7">
      <c r="A7" s="5" t="n">
        <v>44958</v>
      </c>
      <c r="B7" s="6" t="n">
        <v>100.881759072301</v>
      </c>
      <c r="C7" s="6" t="n">
        <v>100.888331097064</v>
      </c>
      <c r="D7" s="6" t="n">
        <v>100.574713990694</v>
      </c>
      <c r="E7" s="6" t="n">
        <v>101.20292613999</v>
      </c>
      <c r="F7" s="6" t="n">
        <v>103.881661770877</v>
      </c>
      <c r="G7" s="6" t="n">
        <v>104.003980856891</v>
      </c>
      <c r="H7" s="6" t="n">
        <v>103.528256830621</v>
      </c>
      <c r="I7" s="6" t="n">
        <v>104.48189088876</v>
      </c>
      <c r="J7" s="10" t="b">
        <v>0</v>
      </c>
    </row>
    <row r="8">
      <c r="A8" s="5" t="n">
        <v>44986</v>
      </c>
      <c r="B8" s="6" t="n">
        <v>101.090158012708</v>
      </c>
      <c r="C8" s="6" t="n">
        <v>100.850993578064</v>
      </c>
      <c r="D8" s="6" t="n">
        <v>100.55059409583</v>
      </c>
      <c r="E8" s="6" t="n">
        <v>101.15229051744</v>
      </c>
      <c r="F8" s="6" t="n">
        <v>103.75863121352</v>
      </c>
      <c r="G8" s="6" t="n">
        <v>103.833229467584</v>
      </c>
      <c r="H8" s="6" t="n">
        <v>103.378120878282</v>
      </c>
      <c r="I8" s="6" t="n">
        <v>104.290341612632</v>
      </c>
      <c r="J8" s="10" t="b">
        <v>0</v>
      </c>
    </row>
    <row r="9">
      <c r="A9" s="5" t="n">
        <v>45017</v>
      </c>
      <c r="B9" s="6" t="n">
        <v>101.164255413741</v>
      </c>
      <c r="C9" s="6" t="n">
        <v>100.809671728626</v>
      </c>
      <c r="D9" s="6" t="n">
        <v>100.523896673753</v>
      </c>
      <c r="E9" s="6" t="n">
        <v>101.096259201089</v>
      </c>
      <c r="F9" s="6" t="n">
        <v>103.796780223553</v>
      </c>
      <c r="G9" s="6" t="n">
        <v>103.644510266199</v>
      </c>
      <c r="H9" s="6" t="n">
        <v>103.212152885396</v>
      </c>
      <c r="I9" s="6" t="n">
        <v>104.078678799077</v>
      </c>
      <c r="J9" s="10" t="b">
        <v>0</v>
      </c>
    </row>
    <row r="10">
      <c r="A10" s="5" t="n">
        <v>45047</v>
      </c>
      <c r="B10" s="6" t="n">
        <v>101.470833410518</v>
      </c>
      <c r="C10" s="6" t="n">
        <v>100.769698962589</v>
      </c>
      <c r="D10" s="6" t="n">
        <v>100.49806720805</v>
      </c>
      <c r="E10" s="6" t="n">
        <v>101.042064898511</v>
      </c>
      <c r="F10" s="6" t="n">
        <v>103.950329988937</v>
      </c>
      <c r="G10" s="6" t="n">
        <v>103.462205370336</v>
      </c>
      <c r="H10" s="6" t="n">
        <v>103.05179240153</v>
      </c>
      <c r="I10" s="6" t="n">
        <v>103.874252845453</v>
      </c>
      <c r="J10" s="10" t="b">
        <v>0</v>
      </c>
    </row>
    <row r="11">
      <c r="A11" s="5" t="n">
        <v>45078</v>
      </c>
      <c r="B11" s="6" t="n">
        <v>101.292073430524</v>
      </c>
      <c r="C11" s="6" t="n">
        <v>100.728410422132</v>
      </c>
      <c r="D11" s="6" t="n">
        <v>100.471383732509</v>
      </c>
      <c r="E11" s="6" t="n">
        <v>100.986094639468</v>
      </c>
      <c r="F11" s="6" t="n">
        <v>103.561210086598</v>
      </c>
      <c r="G11" s="6" t="n">
        <v>103.274160513491</v>
      </c>
      <c r="H11" s="6" t="n">
        <v>102.886348311398</v>
      </c>
      <c r="I11" s="6" t="n">
        <v>103.663434506255</v>
      </c>
      <c r="J11" s="10" t="b">
        <v>0</v>
      </c>
    </row>
    <row r="12">
      <c r="A12" s="5" t="n">
        <v>45108</v>
      </c>
      <c r="B12" s="6" t="n">
        <v>100.842857936758</v>
      </c>
      <c r="C12" s="6" t="n">
        <v>100.688469877599</v>
      </c>
      <c r="D12" s="6" t="n">
        <v>100.445567759929</v>
      </c>
      <c r="E12" s="6" t="n">
        <v>100.931959392404</v>
      </c>
      <c r="F12" s="6" t="n">
        <v>102.872620455499</v>
      </c>
      <c r="G12" s="6" t="n">
        <v>103.092507042126</v>
      </c>
      <c r="H12" s="6" t="n">
        <v>102.726494029347</v>
      </c>
      <c r="I12" s="6" t="n">
        <v>103.459824153977</v>
      </c>
      <c r="J12" s="10" t="b">
        <v>0</v>
      </c>
    </row>
    <row r="13">
      <c r="A13" s="5" t="n">
        <v>45139</v>
      </c>
      <c r="B13" s="6" t="n">
        <v>100.77061297075</v>
      </c>
      <c r="C13" s="6" t="n">
        <v>100.647214619273</v>
      </c>
      <c r="D13" s="6" t="n">
        <v>100.418898223638</v>
      </c>
      <c r="E13" s="6" t="n">
        <v>100.876050124134</v>
      </c>
      <c r="F13" s="6" t="n">
        <v>102.497806431923</v>
      </c>
      <c r="G13" s="6" t="n">
        <v>102.905134120206</v>
      </c>
      <c r="H13" s="6" t="n">
        <v>102.561572188193</v>
      </c>
      <c r="I13" s="6" t="n">
        <v>103.249846919923</v>
      </c>
      <c r="J13" s="10" t="b">
        <v>0</v>
      </c>
    </row>
    <row r="14">
      <c r="A14" s="5" t="n">
        <v>45170</v>
      </c>
      <c r="B14" s="6" t="n">
        <v>100.673360131893</v>
      </c>
      <c r="C14" s="6" t="n">
        <v>100.605976264535</v>
      </c>
      <c r="D14" s="6" t="n">
        <v>100.392235768438</v>
      </c>
      <c r="E14" s="6" t="n">
        <v>100.820171825701</v>
      </c>
      <c r="F14" s="6" t="n">
        <v>102.374775874566</v>
      </c>
      <c r="G14" s="6" t="n">
        <v>102.718101752734</v>
      </c>
      <c r="H14" s="6" t="n">
        <v>102.396915120153</v>
      </c>
      <c r="I14" s="6" t="n">
        <v>103.04029584587</v>
      </c>
      <c r="J14" s="10" t="b">
        <v>0</v>
      </c>
    </row>
    <row r="15">
      <c r="A15" s="5" t="n">
        <v>45200</v>
      </c>
      <c r="B15" s="6" t="n">
        <v>100.833595761629</v>
      </c>
      <c r="C15" s="6" t="n">
        <v>100.566084267248</v>
      </c>
      <c r="D15" s="6" t="n">
        <v>100.366440132809</v>
      </c>
      <c r="E15" s="6" t="n">
        <v>100.766125524275</v>
      </c>
      <c r="F15" s="6" t="n">
        <v>102.245069240453</v>
      </c>
      <c r="G15" s="6" t="n">
        <v>102.537426357625</v>
      </c>
      <c r="H15" s="6" t="n">
        <v>102.237821269323</v>
      </c>
      <c r="I15" s="6" t="n">
        <v>102.837909430295</v>
      </c>
      <c r="J15" s="10" t="b">
        <v>0</v>
      </c>
    </row>
    <row r="16">
      <c r="A16" s="5" t="n">
        <v>45231</v>
      </c>
      <c r="B16" s="6" t="n">
        <v>100.462182538947</v>
      </c>
      <c r="C16" s="6" t="n">
        <v>100.524879154187</v>
      </c>
      <c r="D16" s="6" t="n">
        <v>100.339791605879</v>
      </c>
      <c r="E16" s="6" t="n">
        <v>100.710308116405</v>
      </c>
      <c r="F16" s="6" t="n">
        <v>101.723381528249</v>
      </c>
      <c r="G16" s="6" t="n">
        <v>102.35106230718</v>
      </c>
      <c r="H16" s="6" t="n">
        <v>102.073683965907</v>
      </c>
      <c r="I16" s="6" t="n">
        <v>102.62919440536</v>
      </c>
      <c r="J16" s="10" t="b">
        <v>0</v>
      </c>
    </row>
    <row r="17">
      <c r="A17" s="5" t="n">
        <v>45261</v>
      </c>
      <c r="B17" s="6" t="n">
        <v>100.203767852843</v>
      </c>
      <c r="C17" s="6" t="n">
        <v>100.485019313297</v>
      </c>
      <c r="D17" s="6" t="n">
        <v>100.314009445699</v>
      </c>
      <c r="E17" s="6" t="n">
        <v>100.656320709216</v>
      </c>
      <c r="F17" s="6" t="n">
        <v>101.281806737115</v>
      </c>
      <c r="G17" s="6" t="n">
        <v>102.171032513924</v>
      </c>
      <c r="H17" s="6" t="n">
        <v>101.915092318575</v>
      </c>
      <c r="I17" s="6" t="n">
        <v>102.427615453955</v>
      </c>
      <c r="J17" s="10" t="b">
        <v>0</v>
      </c>
    </row>
    <row r="18">
      <c r="A18" s="5" t="n">
        <v>45292</v>
      </c>
      <c r="B18" s="6" t="n">
        <v>100.166719152326</v>
      </c>
      <c r="C18" s="6" t="n">
        <v>100.443847415118</v>
      </c>
      <c r="D18" s="6" t="n">
        <v>100.287374839763</v>
      </c>
      <c r="E18" s="6" t="n">
        <v>100.600564125559</v>
      </c>
      <c r="F18" s="6" t="n">
        <v>101.477320413535</v>
      </c>
      <c r="G18" s="6" t="n">
        <v>101.985334392431</v>
      </c>
      <c r="H18" s="6" t="n">
        <v>101.75147313907</v>
      </c>
      <c r="I18" s="6" t="n">
        <v>102.219733142539</v>
      </c>
      <c r="J18" s="10" t="b">
        <v>0</v>
      </c>
    </row>
    <row r="19">
      <c r="A19" s="5" t="n">
        <v>45323</v>
      </c>
      <c r="B19" s="6" t="n">
        <v>100.481633106719</v>
      </c>
      <c r="C19" s="6" t="n">
        <v>100.402692386371</v>
      </c>
      <c r="D19" s="6" t="n">
        <v>100.260747305643</v>
      </c>
      <c r="E19" s="6" t="n">
        <v>100.544838427161</v>
      </c>
      <c r="F19" s="6" t="n">
        <v>101.730057605005</v>
      </c>
      <c r="G19" s="6" t="n">
        <v>101.799973781399</v>
      </c>
      <c r="H19" s="6" t="n">
        <v>101.588116641325</v>
      </c>
      <c r="I19" s="6" t="n">
        <v>102.012272739368</v>
      </c>
      <c r="J19" s="10" t="b">
        <v>0</v>
      </c>
    </row>
    <row r="20">
      <c r="A20" s="5" t="n">
        <v>45352</v>
      </c>
      <c r="B20" s="6" t="n">
        <v>100.585369468166</v>
      </c>
      <c r="C20" s="6" t="n">
        <v>100.364207786661</v>
      </c>
      <c r="D20" s="6" t="n">
        <v>100.235844077451</v>
      </c>
      <c r="E20" s="6" t="n">
        <v>100.492735880597</v>
      </c>
      <c r="F20" s="6" t="n">
        <v>101.819707778583</v>
      </c>
      <c r="G20" s="6" t="n">
        <v>101.626876926622</v>
      </c>
      <c r="H20" s="6" t="n">
        <v>101.43553670651</v>
      </c>
      <c r="I20" s="6" t="n">
        <v>101.818578076256</v>
      </c>
      <c r="J20" s="10" t="b">
        <v>0</v>
      </c>
    </row>
    <row r="21">
      <c r="A21" s="5" t="n">
        <v>45383</v>
      </c>
      <c r="B21" s="6" t="n">
        <v>100.640942518941</v>
      </c>
      <c r="C21" s="6" t="n">
        <v>100.323085388794</v>
      </c>
      <c r="D21" s="6" t="n">
        <v>100.209230225383</v>
      </c>
      <c r="E21" s="6" t="n">
        <v>100.437069911529</v>
      </c>
      <c r="F21" s="6" t="n">
        <v>101.599397245641</v>
      </c>
      <c r="G21" s="6" t="n">
        <v>101.442167819998</v>
      </c>
      <c r="H21" s="6" t="n">
        <v>101.272687427654</v>
      </c>
      <c r="I21" s="6" t="n">
        <v>101.611931838698</v>
      </c>
      <c r="J21" s="10" t="b">
        <v>0</v>
      </c>
    </row>
    <row r="22">
      <c r="A22" s="5" t="n">
        <v>45413</v>
      </c>
      <c r="B22" s="6" t="n">
        <v>100.43439601356</v>
      </c>
      <c r="C22" s="6" t="n">
        <v>100.283305562597</v>
      </c>
      <c r="D22" s="6" t="n">
        <v>100.183481612756</v>
      </c>
      <c r="E22" s="6" t="n">
        <v>100.383228978147</v>
      </c>
      <c r="F22" s="6" t="n">
        <v>100.716247663373</v>
      </c>
      <c r="G22" s="6" t="n">
        <v>101.263736721302</v>
      </c>
      <c r="H22" s="6" t="n">
        <v>101.115340286796</v>
      </c>
      <c r="I22" s="6" t="n">
        <v>101.412350941772</v>
      </c>
      <c r="J22" s="10" t="b">
        <v>0</v>
      </c>
    </row>
    <row r="23">
      <c r="A23" s="5" t="n">
        <v>45444</v>
      </c>
      <c r="B23" s="6" t="n">
        <v>100.486264194283</v>
      </c>
      <c r="C23" s="6" t="n">
        <v>100.242216312937</v>
      </c>
      <c r="D23" s="6" t="n">
        <v>100.156881663568</v>
      </c>
      <c r="E23" s="6" t="n">
        <v>100.327623668268</v>
      </c>
      <c r="F23" s="6" t="n">
        <v>100.663792774577</v>
      </c>
      <c r="G23" s="6" t="n">
        <v>101.079687630069</v>
      </c>
      <c r="H23" s="6" t="n">
        <v>100.953005066008</v>
      </c>
      <c r="I23" s="6" t="n">
        <v>101.206529163861</v>
      </c>
      <c r="J23" s="10" t="b">
        <v>0</v>
      </c>
    </row>
    <row r="24">
      <c r="A24" s="5" t="n">
        <v>45474</v>
      </c>
      <c r="B24" s="6" t="n">
        <v>100.425133838431</v>
      </c>
      <c r="C24" s="6" t="n">
        <v>100.202468552718</v>
      </c>
      <c r="D24" s="6" t="n">
        <v>100.131146501826</v>
      </c>
      <c r="E24" s="6" t="n">
        <v>100.273841405334</v>
      </c>
      <c r="F24" s="6" t="n">
        <v>100.440621065883</v>
      </c>
      <c r="G24" s="6" t="n">
        <v>100.901894113752</v>
      </c>
      <c r="H24" s="6" t="n">
        <v>100.796154614898</v>
      </c>
      <c r="I24" s="6" t="n">
        <v>101.007744537884</v>
      </c>
      <c r="J24" s="10" t="b">
        <v>0</v>
      </c>
    </row>
    <row r="25">
      <c r="A25" s="5" t="n">
        <v>45505</v>
      </c>
      <c r="B25" s="6" t="n">
        <v>100.295463386622</v>
      </c>
      <c r="C25" s="6" t="n">
        <v>100.161412424543</v>
      </c>
      <c r="D25" s="6" t="n">
        <v>100.104560448255</v>
      </c>
      <c r="E25" s="6" t="n">
        <v>100.218296688544</v>
      </c>
      <c r="F25" s="6" t="n">
        <v>100.297562278259</v>
      </c>
      <c r="G25" s="6" t="n">
        <v>100.718502679497</v>
      </c>
      <c r="H25" s="6" t="n">
        <v>100.634331829478</v>
      </c>
      <c r="I25" s="6" t="n">
        <v>100.802743930261</v>
      </c>
      <c r="J25" s="10" t="b">
        <v>0</v>
      </c>
    </row>
    <row r="26">
      <c r="A26" s="5" t="n">
        <v>45536</v>
      </c>
      <c r="B26" s="6" t="n">
        <v>100.337143174703</v>
      </c>
      <c r="C26" s="6" t="n">
        <v>100.120373118366</v>
      </c>
      <c r="D26" s="6" t="n">
        <v>100.077981453609</v>
      </c>
      <c r="E26" s="6" t="n">
        <v>100.162782739653</v>
      </c>
      <c r="F26" s="6" t="n">
        <v>100.508335558692</v>
      </c>
      <c r="G26" s="6" t="n">
        <v>100.535444563248</v>
      </c>
      <c r="H26" s="6" t="n">
        <v>100.472768841804</v>
      </c>
      <c r="I26" s="6" t="n">
        <v>100.598159382311</v>
      </c>
      <c r="J26" s="10" t="b">
        <v>0</v>
      </c>
    </row>
    <row r="27">
      <c r="A27" s="5" t="n">
        <v>45566</v>
      </c>
      <c r="B27" s="6" t="n">
        <v>100.397347313043</v>
      </c>
      <c r="C27" s="6" t="n">
        <v>100.080673671066</v>
      </c>
      <c r="D27" s="6" t="n">
        <v>100.052266565158</v>
      </c>
      <c r="E27" s="6" t="n">
        <v>100.109088842394</v>
      </c>
      <c r="F27" s="6" t="n">
        <v>100.548392019227</v>
      </c>
      <c r="G27" s="6" t="n">
        <v>100.358608340041</v>
      </c>
      <c r="H27" s="6" t="n">
        <v>100.316664532608</v>
      </c>
      <c r="I27" s="6" t="n">
        <v>100.400569684769</v>
      </c>
      <c r="J27" s="10" t="b">
        <v>0</v>
      </c>
    </row>
    <row r="28">
      <c r="A28" s="5" t="n">
        <v>45597</v>
      </c>
      <c r="B28" s="6" t="n">
        <v>100.27601281885</v>
      </c>
      <c r="C28" s="6" t="n">
        <v>100.039667446116</v>
      </c>
      <c r="D28" s="6" t="n">
        <v>100.025701455183</v>
      </c>
      <c r="E28" s="6" t="n">
        <v>100.053635387036</v>
      </c>
      <c r="F28" s="6" t="n">
        <v>100.488307328425</v>
      </c>
      <c r="G28" s="6" t="n">
        <v>100.176204339749</v>
      </c>
      <c r="H28" s="6" t="n">
        <v>100.155611542632</v>
      </c>
      <c r="I28" s="6" t="n">
        <v>100.196801370911</v>
      </c>
      <c r="J28" s="10" t="b">
        <v>0</v>
      </c>
    </row>
    <row r="29">
      <c r="A29" s="5" t="n">
        <v>45627</v>
      </c>
      <c r="B29" s="6" t="n">
        <v>100</v>
      </c>
      <c r="C29" s="6" t="n">
        <v>100</v>
      </c>
      <c r="D29" s="6" t="n">
        <v>100</v>
      </c>
      <c r="E29" s="6" t="n">
        <v>100</v>
      </c>
      <c r="F29" s="6" t="n">
        <v>100</v>
      </c>
      <c r="G29" s="6" t="n">
        <v>100</v>
      </c>
      <c r="H29" s="6" t="n">
        <v>100</v>
      </c>
      <c r="I29" s="6" t="n">
        <v>100</v>
      </c>
      <c r="J29" s="10" t="b">
        <v>0</v>
      </c>
    </row>
    <row r="30">
      <c r="A30" s="5" t="n">
        <v>45658</v>
      </c>
      <c r="B30" s="6" t="n">
        <v>100.399199748069</v>
      </c>
      <c r="C30" s="6" t="n">
        <v>99.9590268296107</v>
      </c>
      <c r="D30" s="6" t="n">
        <v>99.944606972255</v>
      </c>
      <c r="E30" s="6" t="n">
        <v>99.9734487674418</v>
      </c>
      <c r="F30" s="6" t="n">
        <v>100.308053256018</v>
      </c>
      <c r="G30" s="6" t="n">
        <v>99.8182477783339</v>
      </c>
      <c r="H30" s="6" t="n">
        <v>99.797044663693</v>
      </c>
      <c r="I30" s="6" t="n">
        <v>99.8394553978384</v>
      </c>
      <c r="J30" s="10" t="b">
        <v>1</v>
      </c>
    </row>
    <row r="31">
      <c r="A31" s="5" t="n">
        <v>45689</v>
      </c>
      <c r="B31" s="6" t="n">
        <v>100.813218976344</v>
      </c>
      <c r="C31" s="6" t="n">
        <v>99.9180704472284</v>
      </c>
      <c r="D31" s="6" t="n">
        <v>99.8892446283852</v>
      </c>
      <c r="E31" s="6" t="n">
        <v>99.946904584563</v>
      </c>
      <c r="F31" s="6" t="n">
        <v>100.715293938122</v>
      </c>
      <c r="G31" s="6" t="n">
        <v>99.6368258953686</v>
      </c>
      <c r="H31" s="6" t="n">
        <v>99.5945012360713</v>
      </c>
      <c r="I31" s="6" t="n">
        <v>99.6791685413697</v>
      </c>
      <c r="J31" s="10" t="b">
        <v>1</v>
      </c>
    </row>
    <row r="32">
      <c r="A32" s="5" t="n">
        <v>45717</v>
      </c>
      <c r="B32" s="6" t="n">
        <v>100.548320767649</v>
      </c>
      <c r="C32" s="6" t="n">
        <v>99.8810920096502</v>
      </c>
      <c r="D32" s="6" t="n">
        <v>99.8392662900037</v>
      </c>
      <c r="E32" s="6" t="n">
        <v>99.9229352513688</v>
      </c>
      <c r="F32" s="6" t="n">
        <v>100.665700225079</v>
      </c>
      <c r="G32" s="6" t="n">
        <v>99.4732444025496</v>
      </c>
      <c r="H32" s="6" t="n">
        <v>99.4119121342112</v>
      </c>
      <c r="I32" s="6" t="n">
        <v>99.5346145098859</v>
      </c>
      <c r="J32" s="10" t="b">
        <v>1</v>
      </c>
    </row>
    <row r="33">
      <c r="A33" s="5" t="n">
        <v>45748</v>
      </c>
      <c r="B33" s="6" t="n">
        <v>100.83730063168</v>
      </c>
      <c r="C33" s="6" t="n">
        <v>99.8401675596344</v>
      </c>
      <c r="D33" s="6" t="n">
        <v>99.7839622975272</v>
      </c>
      <c r="E33" s="6" t="n">
        <v>99.8964044804512</v>
      </c>
      <c r="F33" s="6" t="n">
        <v>101.157822454507</v>
      </c>
      <c r="G33" s="6" t="n">
        <v>99.2924495708846</v>
      </c>
      <c r="H33" s="6" t="n">
        <v>99.21015035361</v>
      </c>
      <c r="I33" s="6" t="n">
        <v>99.374817059008</v>
      </c>
      <c r="J33" s="10" t="b">
        <v>1</v>
      </c>
    </row>
    <row r="34">
      <c r="A34" s="5" t="n">
        <v>45778</v>
      </c>
      <c r="B34" s="6" t="n">
        <v>101.086453142656</v>
      </c>
      <c r="C34" s="6" t="n">
        <v>99.8005792186497</v>
      </c>
      <c r="D34" s="6" t="n">
        <v>99.7304714731594</v>
      </c>
      <c r="E34" s="6" t="n">
        <v>99.8707362479337</v>
      </c>
      <c r="F34" s="6" t="n">
        <v>101.178804410026</v>
      </c>
      <c r="G34" s="6" t="n">
        <v>99.1177997063379</v>
      </c>
      <c r="H34" s="6" t="n">
        <v>99.0152869115566</v>
      </c>
      <c r="I34" s="6" t="n">
        <v>99.220418634964</v>
      </c>
      <c r="J34" s="10" t="b">
        <v>1</v>
      </c>
    </row>
    <row r="35">
      <c r="A35" s="5" t="n">
        <v>45809</v>
      </c>
      <c r="B35" s="6" t="n">
        <v>101.484726673212</v>
      </c>
      <c r="C35" s="6" t="n">
        <v>99.759687757277</v>
      </c>
      <c r="D35" s="6" t="n">
        <v>99.6752277454261</v>
      </c>
      <c r="E35" s="6" t="n">
        <v>99.8442193364949</v>
      </c>
      <c r="F35" s="6" t="n">
        <v>101.657574485942</v>
      </c>
      <c r="G35" s="6" t="n">
        <v>98.9376509033051</v>
      </c>
      <c r="H35" s="6" t="n">
        <v>98.8143301030099</v>
      </c>
      <c r="I35" s="6" t="n">
        <v>99.0611256086035</v>
      </c>
      <c r="J35" s="10" t="b">
        <v>1</v>
      </c>
    </row>
    <row r="36">
      <c r="A36" s="5" t="n">
        <v>45839</v>
      </c>
      <c r="B36" s="6" t="n">
        <v>101.483800455699</v>
      </c>
      <c r="C36" s="6" t="n">
        <v>99.7201313279161</v>
      </c>
      <c r="D36" s="6" t="n">
        <v>99.6217952099926</v>
      </c>
      <c r="E36" s="6" t="n">
        <v>99.8185645128726</v>
      </c>
      <c r="F36" s="6" t="n">
        <v>101.533590203334</v>
      </c>
      <c r="G36" s="6" t="n">
        <v>98.7636251097678</v>
      </c>
      <c r="H36" s="6" t="n">
        <v>98.6202441106044</v>
      </c>
      <c r="I36" s="6" t="n">
        <v>98.9072145662425</v>
      </c>
      <c r="J36" s="10" t="b">
        <v>1</v>
      </c>
    </row>
    <row r="37">
      <c r="A37" s="5" t="n">
        <v>45870</v>
      </c>
      <c r="B37" s="6" t="n">
        <v>101.36987570161</v>
      </c>
      <c r="C37" s="6" t="n">
        <v>99.6792728285947</v>
      </c>
      <c r="D37" s="6" t="n">
        <v>99.5666116813319</v>
      </c>
      <c r="E37" s="6" t="n">
        <v>99.7920614536725</v>
      </c>
      <c r="F37" s="6" t="n">
        <v>101.451569831763</v>
      </c>
      <c r="G37" s="6" t="n">
        <v>98.5841200269329</v>
      </c>
      <c r="H37" s="6" t="n">
        <v>98.420089062503</v>
      </c>
      <c r="I37" s="6" t="n">
        <v>98.748424372108</v>
      </c>
      <c r="J37" s="10" t="b">
        <v>1</v>
      </c>
    </row>
    <row r="38">
      <c r="A38" s="5" t="n">
        <v>45901</v>
      </c>
      <c r="B38" s="6" t="n">
        <v>101.548635681603</v>
      </c>
      <c r="C38" s="6" t="n">
        <v>99.6384310702958</v>
      </c>
      <c r="D38" s="6" t="n">
        <v>99.5114587204985</v>
      </c>
      <c r="E38" s="6" t="n">
        <v>99.7655654313613</v>
      </c>
      <c r="F38" s="6" t="n">
        <v>101.386716514706</v>
      </c>
      <c r="G38" s="6" t="n">
        <v>98.404941198574</v>
      </c>
      <c r="H38" s="6" t="n">
        <v>98.2203402397525</v>
      </c>
      <c r="I38" s="6" t="n">
        <v>98.589889107059</v>
      </c>
      <c r="J38" s="10" t="b">
        <v>1</v>
      </c>
    </row>
    <row r="39">
      <c r="A39" s="5" t="n">
        <v>45931</v>
      </c>
      <c r="B39" s="6" t="n">
        <v>101.546783246578</v>
      </c>
      <c r="C39" s="6" t="n">
        <v>99.5989227212936</v>
      </c>
      <c r="D39" s="6" t="n">
        <v>99.4581139761283</v>
      </c>
      <c r="E39" s="6" t="n">
        <v>99.7399308177428</v>
      </c>
      <c r="F39" s="6" t="n">
        <v>101.461107084271</v>
      </c>
      <c r="G39" s="6" t="n">
        <v>98.2318524116085</v>
      </c>
      <c r="H39" s="6" t="n">
        <v>98.0274209314906</v>
      </c>
      <c r="I39" s="6" t="n">
        <v>98.4367102237635</v>
      </c>
      <c r="J39" s="10" t="b">
        <v>1</v>
      </c>
    </row>
    <row r="40">
      <c r="A40" s="5" t="n">
        <v>45962</v>
      </c>
      <c r="B40" s="6" t="n">
        <v>101.526406461293</v>
      </c>
      <c r="C40" s="6" t="n">
        <v>99.5581138849812</v>
      </c>
      <c r="D40" s="6" t="n">
        <v>99.4030211154588</v>
      </c>
      <c r="E40" s="6" t="n">
        <v>99.713448636758</v>
      </c>
      <c r="F40" s="6" t="n">
        <v>101.496394918552</v>
      </c>
      <c r="G40" s="6" t="n">
        <v>98.0533138374666</v>
      </c>
      <c r="H40" s="6" t="n">
        <v>97.828469049666</v>
      </c>
      <c r="I40" s="6" t="n">
        <v>98.2786753989538</v>
      </c>
      <c r="J40" s="10" t="b">
        <v>1</v>
      </c>
    </row>
    <row r="41">
      <c r="A41" s="8" t="n">
        <v>45992</v>
      </c>
      <c r="B41" s="9" t="n">
        <v>101.965433562418</v>
      </c>
      <c r="C41" s="9" t="n">
        <v>99.5186373831222</v>
      </c>
      <c r="D41" s="9" t="n">
        <v>99.3497345008397</v>
      </c>
      <c r="E41" s="9" t="n">
        <v>99.6878274144724</v>
      </c>
      <c r="F41" s="9" t="n">
        <v>102.050509289284</v>
      </c>
      <c r="G41" s="9" t="n">
        <v>97.8808435433599</v>
      </c>
      <c r="H41" s="9" t="n">
        <v>97.6363194345118</v>
      </c>
      <c r="I41" s="9" t="n">
        <v>98.1259800476787</v>
      </c>
      <c r="J41" s="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3.71" hidden="0" customWidth="1"/>
    <col min="2" max="2" width="35.71" hidden="0" customWidth="1"/>
    <col min="3" max="3" width="38.71" hidden="0" customWidth="1"/>
  </cols>
  <sheetData>
    <row r="1">
      <c r="A1" s="1" t="s">
        <v>166</v>
      </c>
    </row>
    <row r="2">
      <c r="A2" s="2" t="s">
        <v>167</v>
      </c>
    </row>
    <row r="3">
      <c r="A3" s="2" t="s">
        <v>15</v>
      </c>
    </row>
    <row r="5">
      <c r="A5" s="4" t="s">
        <v>4</v>
      </c>
      <c r="B5" s="4" t="s">
        <v>27</v>
      </c>
      <c r="C5" s="4" t="s">
        <v>28</v>
      </c>
    </row>
    <row r="6">
      <c r="A6" s="5" t="n">
        <v>45627</v>
      </c>
      <c r="B6" s="6" t="n">
        <v>0</v>
      </c>
      <c r="C6" s="6" t="n">
        <v>0</v>
      </c>
    </row>
    <row r="7">
      <c r="A7" s="5" t="n">
        <v>45658</v>
      </c>
      <c r="B7" s="6" t="n">
        <v>0.440353345184574</v>
      </c>
      <c r="C7" s="6" t="n">
        <v>0.490697330984813</v>
      </c>
    </row>
    <row r="8">
      <c r="A8" s="5" t="n">
        <v>45689</v>
      </c>
      <c r="B8" s="6" t="n">
        <v>0.895882521659397</v>
      </c>
      <c r="C8" s="6" t="n">
        <v>1.08239903576031</v>
      </c>
    </row>
    <row r="9">
      <c r="A9" s="5" t="n">
        <v>45717</v>
      </c>
      <c r="B9" s="6" t="n">
        <v>0.668023090831293</v>
      </c>
      <c r="C9" s="6" t="n">
        <v>1.19877041277943</v>
      </c>
    </row>
    <row r="10">
      <c r="A10" s="5" t="n">
        <v>45748</v>
      </c>
      <c r="B10" s="6" t="n">
        <v>0.9987293655636</v>
      </c>
      <c r="C10" s="6" t="n">
        <v>1.87866538864165</v>
      </c>
    </row>
    <row r="11">
      <c r="A11" s="5" t="n">
        <v>45778</v>
      </c>
      <c r="B11" s="6" t="n">
        <v>1.28844334779772</v>
      </c>
      <c r="C11" s="6" t="n">
        <v>2.07934872423914</v>
      </c>
    </row>
    <row r="12">
      <c r="A12" s="5" t="n">
        <v>45809</v>
      </c>
      <c r="B12" s="6" t="n">
        <v>1.72919438173473</v>
      </c>
      <c r="C12" s="6" t="n">
        <v>2.74912892898098</v>
      </c>
    </row>
    <row r="13">
      <c r="A13" s="5" t="n">
        <v>45839</v>
      </c>
      <c r="B13" s="6" t="n">
        <v>1.76861893811928</v>
      </c>
      <c r="C13" s="6" t="n">
        <v>2.80464097028412</v>
      </c>
    </row>
    <row r="14">
      <c r="A14" s="5" t="n">
        <v>45870</v>
      </c>
      <c r="B14" s="6" t="n">
        <v>1.69604254228677</v>
      </c>
      <c r="C14" s="6" t="n">
        <v>2.9086325506041</v>
      </c>
    </row>
    <row r="15">
      <c r="A15" s="5" t="n">
        <v>45901</v>
      </c>
      <c r="B15" s="6" t="n">
        <v>1.91713638080069</v>
      </c>
      <c r="C15" s="6" t="n">
        <v>3.03010730946474</v>
      </c>
    </row>
    <row r="16">
      <c r="A16" s="5" t="n">
        <v>45931</v>
      </c>
      <c r="B16" s="6" t="n">
        <v>1.95570441131643</v>
      </c>
      <c r="C16" s="6" t="n">
        <v>3.28738041010523</v>
      </c>
    </row>
    <row r="17">
      <c r="A17" s="5" t="n">
        <v>45962</v>
      </c>
      <c r="B17" s="6" t="n">
        <v>1.97702879203416</v>
      </c>
      <c r="C17" s="6" t="n">
        <v>3.51143775394733</v>
      </c>
    </row>
    <row r="18">
      <c r="A18" s="8" t="n">
        <v>45992</v>
      </c>
      <c r="B18" s="9" t="n">
        <v>2.45863111034774</v>
      </c>
      <c r="C18" s="9" t="n">
        <v>4.25994055116308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80.71" hidden="0" customWidth="1"/>
  </cols>
  <sheetData>
    <row r="1">
      <c r="A1" s="1" t="s">
        <v>168</v>
      </c>
    </row>
    <row r="2">
      <c r="A2" s="2" t="s">
        <v>169</v>
      </c>
    </row>
    <row r="3">
      <c r="A3" s="2" t="s">
        <v>170</v>
      </c>
    </row>
    <row r="5">
      <c r="A5" s="1" t="s">
        <v>171</v>
      </c>
    </row>
    <row r="6">
      <c r="A6" s="2" t="str">
        <f>HYPERLINK("#'F1'!A1", "Figure 1. Customs Duty Revenue (Inflation-Adjusted)")</f>
      </c>
    </row>
    <row r="7">
      <c r="A7" s="2" t="str">
        <f>HYPERLINK("#'F2'!A1", "Figure 2. Effective Tariff Rate")</f>
      </c>
    </row>
    <row r="8">
      <c r="A8" s="2" t="str">
        <f>HYPERLINK("#'F3'!A1", "Figure 3. PCE Core Goods &amp; Durables Prices")</f>
      </c>
    </row>
    <row r="9">
      <c r="A9" s="2" t="str">
        <f>HYPERLINK("#'F4'!A1", "Figure 4. PCE Goods Prices: Deviation from Trend")</f>
      </c>
    </row>
    <row r="10">
      <c r="A10" s="2" t="str">
        <f>HYPERLINK("#'T1a'!A1", "Table 1a. Implied Passthrough -- Imported PCE Core and Durable Goods Prices (June 2025)")</f>
      </c>
    </row>
    <row r="11">
      <c r="A11" s="2" t="str">
        <f>HYPERLINK("#'T1b'!A1", "Table 1b. Implied Passthrough -- Imported PCE Core and Durable Goods Prices (December 2025)")</f>
      </c>
    </row>
    <row r="12">
      <c r="A12" s="2" t="str">
        <f>HYPERLINK("#'TA1'!A1", "Table A1. Implied Consumer Passthrough -- All PCE Goods (June 2025)")</f>
      </c>
    </row>
    <row r="13">
      <c r="A13" s="2" t="str">
        <f>HYPERLINK("#'TA2'!A1", "Table A2. Implied Consumer Passthrough -- All PCE Goods (December 2025)")</f>
      </c>
    </row>
    <row r="14">
      <c r="A14" s="2" t="str">
        <f>HYPERLINK("#'F5'!A1", "Figure 5. Imported PCE Core Goods &amp; Durables Prices")</f>
      </c>
    </row>
    <row r="15">
      <c r="A15" s="2" t="str">
        <f>HYPERLINK("#'F6'!A1", "Figure 6. Imported PCE Goods Prices: Deviation from Trend")</f>
      </c>
    </row>
    <row r="16">
      <c r="A16" s="2" t="str">
        <f>HYPERLINK("#'F7'!A1", "Figure 7. Non-Petroleum Import Prices")</f>
      </c>
    </row>
    <row r="17">
      <c r="A17" s="2" t="str">
        <f>HYPERLINK("#'F8'!A1", "Figure 8. Tariff-Exposed Employment Index")</f>
      </c>
    </row>
    <row r="18">
      <c r="A18" s="2" t="str">
        <f>HYPERLINK("#'F9'!A1", "Figure 9. Manufacturing Tariff-Exposed Employment Index")</f>
      </c>
    </row>
    <row r="19">
      <c r="A19" s="2" t="str">
        <f>HYPERLINK("#'F10'!A1", "Figure 10. Manufacturing Industrial Production")</f>
      </c>
    </row>
    <row r="20">
      <c r="A20" s="2" t="str">
        <f>HYPERLINK("#'F11'!A1", "Figure 11. Nominal Effective Exchange Rates (Daily)")</f>
      </c>
    </row>
    <row r="21">
      <c r="A21" s="2" t="str">
        <f>HYPERLINK("#'F12'!A1", "Figure 12. Real US Imports and Exports")</f>
      </c>
    </row>
    <row r="22">
      <c r="A22" s="2" t="str">
        <f>HYPERLINK("#'F13a'!A1", "Figure 13a. Trade Deviation from Trend")</f>
      </c>
    </row>
    <row r="23">
      <c r="A23" s="2" t="str">
        <f>HYPERLINK("#'F13b'!A1", "Figure 13b. Cumulative Import Gap vs. Trend")</f>
      </c>
    </row>
    <row r="24">
      <c r="A24" s="2" t="str">
        <f>HYPERLINK("#'FA1'!A1", "Figure A1. PCE Core Goods &amp; Durables Prices (Log-Linear Trend)")</f>
      </c>
    </row>
    <row r="25">
      <c r="A25" s="2" t="str">
        <f>HYPERLINK("#'FA2'!A1", "Figure A2. PCE Goods Prices: Deviation from Log-Linear Trend")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ji252</dc:creator>
  <cp:lastModifiedBy>ji252</cp:lastModifiedBy>
  <dcterms:created xsi:type="dcterms:W3CDTF">2026-03-02T19:37:36Z</dcterms:created>
</coreProperties>
</file>